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b8740b5db91e0bd/Documents/"/>
    </mc:Choice>
  </mc:AlternateContent>
  <xr:revisionPtr revIDLastSave="1" documentId="8_{06AFB7DA-6861-4CFA-88C3-A74DFB092981}" xr6:coauthVersionLast="47" xr6:coauthVersionMax="47" xr10:uidLastSave="{C7DAA4EF-B07F-4744-9BFE-EB67D57F5B53}"/>
  <bookViews>
    <workbookView xWindow="-108" yWindow="-108" windowWidth="23256" windowHeight="12456" xr2:uid="{C04BB905-8D12-4F7C-BABD-77578252B4B1}"/>
  </bookViews>
  <sheets>
    <sheet name="Inputs" sheetId="1" r:id="rId1"/>
    <sheet name="Scenarios" sheetId="2" r:id="rId2"/>
    <sheet name="Calculations" sheetId="3" r:id="rId3"/>
    <sheet name="Dashboar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3" l="1"/>
  <c r="H10" i="3"/>
  <c r="H11" i="3"/>
  <c r="H12" i="3"/>
  <c r="H13" i="3"/>
  <c r="H14" i="3"/>
  <c r="H15" i="3"/>
  <c r="H16" i="3"/>
  <c r="H17" i="3"/>
  <c r="H18" i="3"/>
  <c r="H19" i="3"/>
  <c r="H20" i="3"/>
  <c r="H9" i="3"/>
  <c r="B5" i="3"/>
  <c r="B4" i="3"/>
  <c r="B3" i="3"/>
  <c r="E20" i="3"/>
  <c r="E19" i="3"/>
  <c r="E18" i="3"/>
  <c r="E17" i="3"/>
  <c r="E16" i="3"/>
  <c r="E15" i="3"/>
  <c r="E14" i="3"/>
  <c r="E13" i="3"/>
  <c r="E12" i="3"/>
  <c r="E11" i="3"/>
  <c r="E10" i="3"/>
  <c r="E9" i="3"/>
  <c r="B9" i="3"/>
  <c r="B12" i="1"/>
  <c r="B23" i="3" l="1"/>
  <c r="K10" i="3" s="1"/>
  <c r="B10" i="3"/>
  <c r="B11" i="3" s="1"/>
  <c r="B12" i="3" s="1"/>
  <c r="B13" i="3" s="1"/>
  <c r="C9" i="3"/>
  <c r="D9" i="3"/>
  <c r="F9" i="3" l="1"/>
  <c r="C10" i="3"/>
  <c r="D10" i="3"/>
  <c r="D11" i="3"/>
  <c r="C11" i="3"/>
  <c r="F11" i="3" s="1"/>
  <c r="C12" i="3"/>
  <c r="D12" i="3"/>
  <c r="C13" i="3"/>
  <c r="B14" i="3"/>
  <c r="D13" i="3"/>
  <c r="F13" i="3" s="1"/>
  <c r="G9" i="3" l="1"/>
  <c r="F10" i="3"/>
  <c r="F12" i="3"/>
  <c r="D14" i="3"/>
  <c r="C14" i="3"/>
  <c r="B15" i="3"/>
  <c r="G10" i="3" l="1"/>
  <c r="G11" i="3" s="1"/>
  <c r="F14" i="3"/>
  <c r="B16" i="3"/>
  <c r="D15" i="3"/>
  <c r="C15" i="3"/>
  <c r="F15" i="3" s="1"/>
  <c r="G12" i="3" l="1"/>
  <c r="G13" i="3" s="1"/>
  <c r="G14" i="3" s="1"/>
  <c r="G15" i="3" s="1"/>
  <c r="B17" i="3"/>
  <c r="D16" i="3"/>
  <c r="C16" i="3"/>
  <c r="F16" i="3" l="1"/>
  <c r="G16" i="3" s="1"/>
  <c r="D17" i="3"/>
  <c r="B18" i="3"/>
  <c r="C17" i="3"/>
  <c r="F17" i="3" l="1"/>
  <c r="G17" i="3" s="1"/>
  <c r="D18" i="3"/>
  <c r="C18" i="3"/>
  <c r="B19" i="3"/>
  <c r="F18" i="3" l="1"/>
  <c r="G18" i="3" s="1"/>
  <c r="B20" i="3"/>
  <c r="D19" i="3"/>
  <c r="C19" i="3"/>
  <c r="F19" i="3" s="1"/>
  <c r="G19" i="3" l="1"/>
  <c r="D20" i="3"/>
  <c r="C20" i="3"/>
  <c r="F20" i="3" l="1"/>
  <c r="G20" i="3" l="1"/>
  <c r="B22" i="3" s="1" a="1"/>
  <c r="B22" i="3" s="1"/>
  <c r="B25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<sst xmlns="http://schemas.openxmlformats.org/spreadsheetml/2006/main" count="44" uniqueCount="40">
  <si>
    <t>Solace Goods — Business Model Inputs</t>
  </si>
  <si>
    <t>Starting Monthly Revenue</t>
  </si>
  <si>
    <t>Starting Cash Balance</t>
  </si>
  <si>
    <t>Projection Months</t>
  </si>
  <si>
    <t>Fixed Costs (monthly)</t>
  </si>
  <si>
    <t>Rent</t>
  </si>
  <si>
    <t>Salaries</t>
  </si>
  <si>
    <t>Software/Tools</t>
  </si>
  <si>
    <t>Other Overhead</t>
  </si>
  <si>
    <t>Total Fixed Costs</t>
  </si>
  <si>
    <t>Variable Costs (% of Revenue)</t>
  </si>
  <si>
    <t>COGS %</t>
  </si>
  <si>
    <t>Marketing %</t>
  </si>
  <si>
    <t>Scenario Assumptions</t>
  </si>
  <si>
    <t>Scenario</t>
  </si>
  <si>
    <t>Monthly Growth Rate</t>
  </si>
  <si>
    <t>Best Case</t>
  </si>
  <si>
    <t>Base Case</t>
  </si>
  <si>
    <t>Worst Case</t>
  </si>
  <si>
    <t>Active Scenario:</t>
  </si>
  <si>
    <t>Model Calculations</t>
  </si>
  <si>
    <t>Active Growth Rate</t>
  </si>
  <si>
    <t>Active COGS %</t>
  </si>
  <si>
    <t>Active Marketing %</t>
  </si>
  <si>
    <t>Month</t>
  </si>
  <si>
    <t>Revenue</t>
  </si>
  <si>
    <t>COGS</t>
  </si>
  <si>
    <t>Marketing</t>
  </si>
  <si>
    <t>Fixed Costs</t>
  </si>
  <si>
    <t>Net Cash Flow</t>
  </si>
  <si>
    <t>Cumulative Cash Balance</t>
  </si>
  <si>
    <t>Months to Cash-Out</t>
  </si>
  <si>
    <t>Breakeven Revenue (Monthly)</t>
  </si>
  <si>
    <t>Scenario:</t>
  </si>
  <si>
    <t>Total Net Cash Flow</t>
  </si>
  <si>
    <t>H8</t>
  </si>
  <si>
    <t>Metric</t>
  </si>
  <si>
    <t>Value</t>
  </si>
  <si>
    <t>Month 1 Revenue</t>
  </si>
  <si>
    <t>Breakeven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</si>
</sst>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2B2E33"/>
      <name val="Calibri"/>
      <family val="2"/>
      <scheme val="minor"/>
    </font>
    <font>
      <b/>
      <sz val="10"/>
      <color rgb="FFF7F6F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A94F"/>
        <bgColor indexed="64"/>
      </patternFill>
    </fill>
    <fill>
      <patternFill patternType="solid">
        <fgColor rgb="FF2B2E33"/>
        <bgColor indexed="64"/>
      </patternFill>
    </fill>
    <fill>
      <patternFill patternType="solid">
        <fgColor rgb="FFF7F6F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2B2E33"/>
      </left>
      <right style="thin">
        <color rgb="FF2B2E33"/>
      </right>
      <top style="thin">
        <color rgb="FF2B2E33"/>
      </top>
      <bottom style="thin">
        <color rgb="FF2B2E33"/>
      </bottom>
      <diagonal/>
    </border>
  </borders>
  <cellStyleXfs count="1">
    <xf numFmtId="0" fontId="0" fillId="0" borderId="0"/>
  </cellStyleXfs>
  <cellXfs count="14">
    <xf numFmtId="0" fontId="0" fillId="0" borderId="0" xfId="0"/>
    <xf numFmtId="169" fontId="0" fillId="0" borderId="0" xfId="0" applyNumberFormat="1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169" fontId="2" fillId="0" borderId="1" xfId="0" applyNumberFormat="1" applyFont="1" applyBorder="1"/>
    <xf numFmtId="9" fontId="0" fillId="0" borderId="0" xfId="0" applyNumberFormat="1"/>
    <xf numFmtId="0" fontId="1" fillId="2" borderId="0" xfId="0" applyFont="1" applyFill="1"/>
    <xf numFmtId="10" fontId="0" fillId="0" borderId="0" xfId="0" applyNumberFormat="1"/>
    <xf numFmtId="0" fontId="1" fillId="3" borderId="0" xfId="0" applyFont="1" applyFill="1"/>
    <xf numFmtId="0" fontId="0" fillId="0" borderId="0" xfId="0" applyNumberFormat="1"/>
    <xf numFmtId="0" fontId="0" fillId="4" borderId="0" xfId="0" applyFill="1"/>
    <xf numFmtId="0" fontId="4" fillId="4" borderId="0" xfId="0" applyFont="1" applyFill="1" applyAlignment="1">
      <alignment horizontal="right" vertical="top"/>
    </xf>
    <xf numFmtId="0" fontId="5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E7145"/>
      <color rgb="FFC9A94F"/>
      <color rgb="FF2B2E33"/>
      <color rgb="FFB3452C"/>
      <color rgb="FFF7F6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>
                <a:solidFill>
                  <a:srgbClr val="2B2E33"/>
                </a:solidFill>
              </a:rPr>
              <a:t>Cumulative Cash Balance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Calculations!$G$8</c:f>
              <c:strCache>
                <c:ptCount val="1"/>
                <c:pt idx="0">
                  <c:v>Cumulative Cash Balance</c:v>
                </c:pt>
              </c:strCache>
            </c:strRef>
          </c:tx>
          <c:spPr>
            <a:ln w="28575" cap="rnd">
              <a:solidFill>
                <a:srgbClr val="1E7145"/>
              </a:solidFill>
              <a:round/>
            </a:ln>
            <a:effectLst/>
          </c:spPr>
          <c:marker>
            <c:symbol val="none"/>
          </c:marker>
          <c:val>
            <c:numRef>
              <c:f>Calculations!$G$9:$G$20</c:f>
              <c:numCache>
                <c:formatCode>"₹"\ #,##0.00</c:formatCode>
                <c:ptCount val="12"/>
                <c:pt idx="0">
                  <c:v>1540000</c:v>
                </c:pt>
                <c:pt idx="1">
                  <c:v>1592000</c:v>
                </c:pt>
                <c:pt idx="2">
                  <c:v>1656480</c:v>
                </c:pt>
                <c:pt idx="3">
                  <c:v>1733939.2</c:v>
                </c:pt>
                <c:pt idx="4">
                  <c:v>1824896.7680000002</c:v>
                </c:pt>
                <c:pt idx="5">
                  <c:v>1929892.6387200002</c:v>
                </c:pt>
                <c:pt idx="6">
                  <c:v>2049488.3442688002</c:v>
                </c:pt>
                <c:pt idx="7">
                  <c:v>2184267.8780395524</c:v>
                </c:pt>
                <c:pt idx="8">
                  <c:v>2334838.5931611345</c:v>
                </c:pt>
                <c:pt idx="9">
                  <c:v>2501832.1368875802</c:v>
                </c:pt>
                <c:pt idx="10">
                  <c:v>2685905.4223630833</c:v>
                </c:pt>
                <c:pt idx="11">
                  <c:v>2887741.6392576071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96-4EA0-87B6-BA2BD8001693}"/>
            </c:ext>
          </c:extLst>
        </c:ser>
        <c:ser>
          <c:idx val="0"/>
          <c:order val="1"/>
          <c:tx>
            <c:v>Zero Line</c:v>
          </c:tx>
          <c:spPr>
            <a:ln w="12700" cap="rnd">
              <a:solidFill>
                <a:srgbClr val="B3452C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Calculations!$H$9:$H$20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D96-4EA0-87B6-BA2BD80016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977072"/>
        <c:axId val="118387600"/>
      </c:lineChart>
      <c:catAx>
        <c:axId val="133977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87600"/>
        <c:crosses val="autoZero"/>
        <c:auto val="1"/>
        <c:lblAlgn val="ctr"/>
        <c:lblOffset val="100"/>
        <c:noMultiLvlLbl val="0"/>
      </c:catAx>
      <c:valAx>
        <c:axId val="118387600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77072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2B2E33"/>
                </a:solidFill>
              </a:rPr>
              <a:t>Month 1 Revenue vs. Breakeven</a:t>
            </a:r>
            <a:endParaRPr lang="en-IN" b="1">
              <a:solidFill>
                <a:srgbClr val="2B2E33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1E714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90E-4E7E-95A5-FE357A227FF0}"/>
              </c:ext>
            </c:extLst>
          </c:dPt>
          <c:dPt>
            <c:idx val="1"/>
            <c:invertIfNegative val="0"/>
            <c:bubble3D val="0"/>
            <c:spPr>
              <a:solidFill>
                <a:srgbClr val="C9A94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690E-4E7E-95A5-FE357A227FF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Calculations!$J$9:$J$10</c:f>
              <c:strCache>
                <c:ptCount val="2"/>
                <c:pt idx="0">
                  <c:v>Month 1 Revenue</c:v>
                </c:pt>
                <c:pt idx="1">
                  <c:v>Breakeven Revenue</c:v>
                </c:pt>
              </c:strCache>
            </c:strRef>
          </c:cat>
          <c:val>
            <c:numRef>
              <c:f>Calculations!$K$9:$K$10</c:f>
              <c:numCache>
                <c:formatCode>"₹"\ #,##0.00</c:formatCode>
                <c:ptCount val="2"/>
                <c:pt idx="0">
                  <c:v>600000</c:v>
                </c:pt>
                <c:pt idx="1">
                  <c:v>520000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0E-4E7E-95A5-FE357A227FF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1342912"/>
        <c:axId val="811152"/>
      </c:barChart>
      <c:catAx>
        <c:axId val="161342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152"/>
        <c:crosses val="autoZero"/>
        <c:auto val="1"/>
        <c:lblAlgn val="ctr"/>
        <c:lblOffset val="100"/>
        <c:noMultiLvlLbl val="0"/>
      </c:catAx>
      <c:valAx>
        <c:axId val="811152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3429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23171</xdr:rowOff>
    </xdr:from>
    <xdr:to>
      <xdr:col>14</xdr:col>
      <xdr:colOff>7776</xdr:colOff>
      <xdr:row>5</xdr:row>
      <xdr:rowOff>147735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7D52177-4791-AFF2-6EAF-0D1D8AA58168}"/>
            </a:ext>
          </a:extLst>
        </xdr:cNvPr>
        <xdr:cNvSpPr txBox="1"/>
      </xdr:nvSpPr>
      <xdr:spPr>
        <a:xfrm>
          <a:off x="1212980" y="583008"/>
          <a:ext cx="7285653" cy="497788"/>
        </a:xfrm>
        <a:prstGeom prst="rect">
          <a:avLst/>
        </a:prstGeom>
        <a:solidFill>
          <a:srgbClr val="2B2E33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400" b="1">
              <a:solidFill>
                <a:srgbClr val="C9A94F"/>
              </a:solidFill>
            </a:rPr>
            <a:t>                                                      Solace Goods — Financial Model</a:t>
          </a:r>
        </a:p>
      </xdr:txBody>
    </xdr:sp>
    <xdr:clientData/>
  </xdr:twoCellAnchor>
  <xdr:twoCellAnchor>
    <xdr:from>
      <xdr:col>2</xdr:col>
      <xdr:colOff>93305</xdr:colOff>
      <xdr:row>4</xdr:row>
      <xdr:rowOff>91440</xdr:rowOff>
    </xdr:from>
    <xdr:to>
      <xdr:col>13</xdr:col>
      <xdr:colOff>575387</xdr:colOff>
      <xdr:row>5</xdr:row>
      <xdr:rowOff>147735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028F6E6-ACF5-4E4C-6075-34AAF8583D16}"/>
            </a:ext>
          </a:extLst>
        </xdr:cNvPr>
        <xdr:cNvSpPr txBox="1"/>
      </xdr:nvSpPr>
      <xdr:spPr>
        <a:xfrm>
          <a:off x="1306285" y="837889"/>
          <a:ext cx="7153469" cy="24290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>
              <a:solidFill>
                <a:schemeClr val="bg1"/>
              </a:solidFill>
            </a:rPr>
            <a:t>                                                             12-Month Scenario Model | Best · Base · Worst Case</a:t>
          </a:r>
          <a:endParaRPr lang="en-IN" sz="11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12916</xdr:colOff>
      <xdr:row>8</xdr:row>
      <xdr:rowOff>45203</xdr:rowOff>
    </xdr:from>
    <xdr:to>
      <xdr:col>4</xdr:col>
      <xdr:colOff>387458</xdr:colOff>
      <xdr:row>12</xdr:row>
      <xdr:rowOff>96863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CE1F86FA-ABCE-D2C4-35B7-7D4E8AD0FF86}"/>
            </a:ext>
          </a:extLst>
        </xdr:cNvPr>
        <xdr:cNvGrpSpPr/>
      </xdr:nvGrpSpPr>
      <xdr:grpSpPr>
        <a:xfrm>
          <a:off x="1226721" y="1501769"/>
          <a:ext cx="1588348" cy="779944"/>
          <a:chOff x="1181746" y="1556288"/>
          <a:chExt cx="1588576" cy="774915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884B19B-D50E-FCA8-1195-8341890A1EDF}"/>
              </a:ext>
            </a:extLst>
          </xdr:cNvPr>
          <xdr:cNvSpPr/>
        </xdr:nvSpPr>
        <xdr:spPr>
          <a:xfrm>
            <a:off x="1181746" y="1556288"/>
            <a:ext cx="1588576" cy="774915"/>
          </a:xfrm>
          <a:prstGeom prst="roundRect">
            <a:avLst>
              <a:gd name="adj" fmla="val 29608"/>
            </a:avLst>
          </a:prstGeom>
          <a:solidFill>
            <a:schemeClr val="bg1"/>
          </a:solidFill>
          <a:ln>
            <a:noFill/>
          </a:ln>
          <a:effectLst>
            <a:outerShdw blurRad="190500" dist="38100" dir="2700000" algn="tl" rotWithShape="0">
              <a:prstClr val="black">
                <a:alpha val="18000"/>
              </a:prstClr>
            </a:outerShdw>
          </a:effectLst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TextBox 5">
            <a:extLst>
              <a:ext uri="{FF2B5EF4-FFF2-40B4-BE49-F238E27FC236}">
                <a16:creationId xmlns:a16="http://schemas.microsoft.com/office/drawing/2014/main" id="{8F5B935E-EF42-3677-EE13-5EAAAEE96895}"/>
              </a:ext>
            </a:extLst>
          </xdr:cNvPr>
          <xdr:cNvSpPr txBox="1"/>
        </xdr:nvSpPr>
        <xdr:spPr>
          <a:xfrm>
            <a:off x="1407763" y="1750017"/>
            <a:ext cx="1162373" cy="21310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900">
                <a:solidFill>
                  <a:srgbClr val="2B2E33"/>
                </a:solidFill>
              </a:rPr>
              <a:t>Ending Cash Balance</a:t>
            </a:r>
          </a:p>
        </xdr:txBody>
      </xdr:sp>
      <xdr:sp macro="" textlink="Calculations!G20">
        <xdr:nvSpPr>
          <xdr:cNvPr id="7" name="TextBox 6">
            <a:extLst>
              <a:ext uri="{FF2B5EF4-FFF2-40B4-BE49-F238E27FC236}">
                <a16:creationId xmlns:a16="http://schemas.microsoft.com/office/drawing/2014/main" id="{9A9274C9-328B-07ED-3EA3-BE6F5D5AD8DD}"/>
              </a:ext>
            </a:extLst>
          </xdr:cNvPr>
          <xdr:cNvSpPr txBox="1"/>
        </xdr:nvSpPr>
        <xdr:spPr>
          <a:xfrm>
            <a:off x="1375475" y="1885628"/>
            <a:ext cx="1285067" cy="24539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36044454-19BC-4B90-84E0-83ECE3031F77}" type="TxLink">
              <a:rPr lang="en-US" sz="1400" b="1" i="0" u="none" strike="noStrike">
                <a:solidFill>
                  <a:srgbClr val="1E7145"/>
                </a:solidFill>
                <a:latin typeface="Calibri"/>
                <a:ea typeface="Calibri"/>
                <a:cs typeface="Calibri"/>
              </a:rPr>
              <a:t>₹ 28,87,741.64</a:t>
            </a:fld>
            <a:endParaRPr lang="en-IN" sz="1400" b="1">
              <a:solidFill>
                <a:srgbClr val="1E7145"/>
              </a:solidFill>
            </a:endParaRPr>
          </a:p>
        </xdr:txBody>
      </xdr:sp>
      <xdr:pic>
        <xdr:nvPicPr>
          <xdr:cNvPr id="9" name="Picture 8">
            <a:extLst>
              <a:ext uri="{FF2B5EF4-FFF2-40B4-BE49-F238E27FC236}">
                <a16:creationId xmlns:a16="http://schemas.microsoft.com/office/drawing/2014/main" id="{13BDE148-A00F-978A-1421-0E2FCC6690C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1362559" y="1588576"/>
            <a:ext cx="216000" cy="216000"/>
          </a:xfrm>
          <a:prstGeom prst="rect">
            <a:avLst/>
          </a:prstGeom>
        </xdr:spPr>
      </xdr:pic>
    </xdr:grpSp>
    <xdr:clientData/>
  </xdr:twoCellAnchor>
  <xdr:twoCellAnchor>
    <xdr:from>
      <xdr:col>4</xdr:col>
      <xdr:colOff>578604</xdr:colOff>
      <xdr:row>8</xdr:row>
      <xdr:rowOff>61992</xdr:rowOff>
    </xdr:from>
    <xdr:to>
      <xdr:col>7</xdr:col>
      <xdr:colOff>346129</xdr:colOff>
      <xdr:row>12</xdr:row>
      <xdr:rowOff>113652</xdr:rowOff>
    </xdr:to>
    <xdr:grpSp>
      <xdr:nvGrpSpPr>
        <xdr:cNvPr id="44" name="Group 43">
          <a:extLst>
            <a:ext uri="{FF2B5EF4-FFF2-40B4-BE49-F238E27FC236}">
              <a16:creationId xmlns:a16="http://schemas.microsoft.com/office/drawing/2014/main" id="{B3C6D65F-DA27-2438-83C0-63C0987B5A17}"/>
            </a:ext>
          </a:extLst>
        </xdr:cNvPr>
        <xdr:cNvGrpSpPr/>
      </xdr:nvGrpSpPr>
      <xdr:grpSpPr>
        <a:xfrm>
          <a:off x="3006215" y="1518558"/>
          <a:ext cx="1588233" cy="779944"/>
          <a:chOff x="3017004" y="1502865"/>
          <a:chExt cx="1596325" cy="772096"/>
        </a:xfrm>
      </xdr:grpSpPr>
      <xdr:grpSp>
        <xdr:nvGrpSpPr>
          <xdr:cNvPr id="32" name="Group 31">
            <a:extLst>
              <a:ext uri="{FF2B5EF4-FFF2-40B4-BE49-F238E27FC236}">
                <a16:creationId xmlns:a16="http://schemas.microsoft.com/office/drawing/2014/main" id="{620B198C-328A-6FFE-24F8-7419963AFD84}"/>
              </a:ext>
            </a:extLst>
          </xdr:cNvPr>
          <xdr:cNvGrpSpPr/>
        </xdr:nvGrpSpPr>
        <xdr:grpSpPr>
          <a:xfrm>
            <a:off x="3017004" y="1502865"/>
            <a:ext cx="1596325" cy="772096"/>
            <a:chOff x="3006672" y="1527873"/>
            <a:chExt cx="1588576" cy="774915"/>
          </a:xfrm>
        </xdr:grpSpPr>
        <xdr:sp macro="" textlink="">
          <xdr:nvSpPr>
            <xdr:cNvPr id="13" name="Rectangle: Rounded Corners 12">
              <a:extLst>
                <a:ext uri="{FF2B5EF4-FFF2-40B4-BE49-F238E27FC236}">
                  <a16:creationId xmlns:a16="http://schemas.microsoft.com/office/drawing/2014/main" id="{3814F041-4D91-6E5C-E574-74CD9D265658}"/>
                </a:ext>
              </a:extLst>
            </xdr:cNvPr>
            <xdr:cNvSpPr/>
          </xdr:nvSpPr>
          <xdr:spPr>
            <a:xfrm>
              <a:off x="3006672" y="1527873"/>
              <a:ext cx="1588576" cy="774915"/>
            </a:xfrm>
            <a:prstGeom prst="roundRect">
              <a:avLst>
                <a:gd name="adj" fmla="val 29608"/>
              </a:avLst>
            </a:prstGeom>
            <a:solidFill>
              <a:schemeClr val="bg1"/>
            </a:solidFill>
            <a:ln>
              <a:noFill/>
            </a:ln>
            <a:effectLst>
              <a:outerShdw blurRad="190500" dist="38100" dir="2700000" algn="tl" rotWithShape="0">
                <a:prstClr val="black">
                  <a:alpha val="18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14859EB9-46A5-F7A5-26A3-76C61EDBA8E9}"/>
                </a:ext>
              </a:extLst>
            </xdr:cNvPr>
            <xdr:cNvSpPr txBox="1"/>
          </xdr:nvSpPr>
          <xdr:spPr>
            <a:xfrm>
              <a:off x="3232689" y="1721602"/>
              <a:ext cx="1162373" cy="2131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900"/>
                <a:t>Total Net Cash Flow</a:t>
              </a:r>
            </a:p>
            <a:p>
              <a:endParaRPr lang="en-IN" sz="900">
                <a:solidFill>
                  <a:srgbClr val="2B2E33"/>
                </a:solidFill>
              </a:endParaRPr>
            </a:p>
          </xdr:txBody>
        </xdr:sp>
        <xdr:sp macro="" textlink="Calculations!B25">
          <xdr:nvSpPr>
            <xdr:cNvPr id="15" name="TextBox 14">
              <a:extLst>
                <a:ext uri="{FF2B5EF4-FFF2-40B4-BE49-F238E27FC236}">
                  <a16:creationId xmlns:a16="http://schemas.microsoft.com/office/drawing/2014/main" id="{90E2AE08-13EE-7D17-6B08-9E18CC9ABA4F}"/>
                </a:ext>
              </a:extLst>
            </xdr:cNvPr>
            <xdr:cNvSpPr txBox="1"/>
          </xdr:nvSpPr>
          <xdr:spPr>
            <a:xfrm>
              <a:off x="3200401" y="1857213"/>
              <a:ext cx="1285067" cy="2453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9DEAEE43-C3A6-46E3-AA1F-A2995914CE1A}" type="TxLink">
                <a:rPr lang="en-US" sz="1400" b="1" i="0" u="none" strike="noStrike">
                  <a:solidFill>
                    <a:srgbClr val="1E7145"/>
                  </a:solidFill>
                  <a:latin typeface="Calibri"/>
                  <a:ea typeface="Calibri"/>
                  <a:cs typeface="Calibri"/>
                </a:rPr>
                <a:t>₹ 13,87,741.64</a:t>
              </a:fld>
              <a:endParaRPr lang="en-US" sz="1400" b="1" i="0" u="none" strike="noStrike">
                <a:solidFill>
                  <a:srgbClr val="1E7145"/>
                </a:solidFill>
                <a:latin typeface="Calibri"/>
                <a:ea typeface="Calibri"/>
                <a:cs typeface="Calibri"/>
              </a:endParaRPr>
            </a:p>
          </xdr:txBody>
        </xdr:sp>
      </xdr:grpSp>
      <xdr:pic>
        <xdr:nvPicPr>
          <xdr:cNvPr id="34" name="Picture 33">
            <a:extLst>
              <a:ext uri="{FF2B5EF4-FFF2-40B4-BE49-F238E27FC236}">
                <a16:creationId xmlns:a16="http://schemas.microsoft.com/office/drawing/2014/main" id="{8AB14E2F-9BBE-2B25-5C9E-2810D0B9A85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228814" y="1576483"/>
            <a:ext cx="216000" cy="215295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578604</xdr:colOff>
      <xdr:row>8</xdr:row>
      <xdr:rowOff>87824</xdr:rowOff>
    </xdr:from>
    <xdr:to>
      <xdr:col>10</xdr:col>
      <xdr:colOff>490781</xdr:colOff>
      <xdr:row>12</xdr:row>
      <xdr:rowOff>139484</xdr:rowOff>
    </xdr:to>
    <xdr:grpSp>
      <xdr:nvGrpSpPr>
        <xdr:cNvPr id="45" name="Group 44">
          <a:extLst>
            <a:ext uri="{FF2B5EF4-FFF2-40B4-BE49-F238E27FC236}">
              <a16:creationId xmlns:a16="http://schemas.microsoft.com/office/drawing/2014/main" id="{05E7E834-FC81-DA60-5D38-62D444B5499C}"/>
            </a:ext>
          </a:extLst>
        </xdr:cNvPr>
        <xdr:cNvGrpSpPr/>
      </xdr:nvGrpSpPr>
      <xdr:grpSpPr>
        <a:xfrm>
          <a:off x="4826923" y="1544390"/>
          <a:ext cx="1732885" cy="779944"/>
          <a:chOff x="4845804" y="1528697"/>
          <a:chExt cx="1740977" cy="772096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76E7D854-11A5-4D02-A815-90230C645E6C}"/>
              </a:ext>
            </a:extLst>
          </xdr:cNvPr>
          <xdr:cNvGrpSpPr/>
        </xdr:nvGrpSpPr>
        <xdr:grpSpPr>
          <a:xfrm>
            <a:off x="4845804" y="1528697"/>
            <a:ext cx="1740977" cy="772096"/>
            <a:chOff x="1181746" y="1556288"/>
            <a:chExt cx="1733227" cy="774915"/>
          </a:xfrm>
        </xdr:grpSpPr>
        <xdr:sp macro="" textlink="">
          <xdr:nvSpPr>
            <xdr:cNvPr id="23" name="Rectangle: Rounded Corners 22">
              <a:extLst>
                <a:ext uri="{FF2B5EF4-FFF2-40B4-BE49-F238E27FC236}">
                  <a16:creationId xmlns:a16="http://schemas.microsoft.com/office/drawing/2014/main" id="{807FA820-74B7-53D4-6A95-66A5D8440727}"/>
                </a:ext>
              </a:extLst>
            </xdr:cNvPr>
            <xdr:cNvSpPr/>
          </xdr:nvSpPr>
          <xdr:spPr>
            <a:xfrm>
              <a:off x="1181746" y="1556288"/>
              <a:ext cx="1588576" cy="774915"/>
            </a:xfrm>
            <a:prstGeom prst="roundRect">
              <a:avLst>
                <a:gd name="adj" fmla="val 29608"/>
              </a:avLst>
            </a:prstGeom>
            <a:solidFill>
              <a:schemeClr val="bg1"/>
            </a:solidFill>
            <a:ln>
              <a:noFill/>
            </a:ln>
            <a:effectLst>
              <a:outerShdw blurRad="190500" dist="38100" dir="2700000" algn="tl" rotWithShape="0">
                <a:prstClr val="black">
                  <a:alpha val="18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050"/>
            </a:p>
          </xdr:txBody>
        </xdr:sp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44FECD86-1B70-14A9-E413-CB7742933F7A}"/>
                </a:ext>
              </a:extLst>
            </xdr:cNvPr>
            <xdr:cNvSpPr txBox="1"/>
          </xdr:nvSpPr>
          <xdr:spPr>
            <a:xfrm>
              <a:off x="1407763" y="1750017"/>
              <a:ext cx="1268277" cy="2131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900"/>
                <a:t>Months to Cash-Out</a:t>
              </a:r>
              <a:endParaRPr lang="en-IN" sz="900">
                <a:solidFill>
                  <a:srgbClr val="2B2E33"/>
                </a:solidFill>
              </a:endParaRPr>
            </a:p>
          </xdr:txBody>
        </xdr:sp>
        <xdr:sp macro="" textlink="Calculations!B22">
          <xdr:nvSpPr>
            <xdr:cNvPr id="25" name="TextBox 24">
              <a:extLst>
                <a:ext uri="{FF2B5EF4-FFF2-40B4-BE49-F238E27FC236}">
                  <a16:creationId xmlns:a16="http://schemas.microsoft.com/office/drawing/2014/main" id="{99A15F1F-E37F-DC76-8580-0DEE95BF6874}"/>
                </a:ext>
              </a:extLst>
            </xdr:cNvPr>
            <xdr:cNvSpPr txBox="1"/>
          </xdr:nvSpPr>
          <xdr:spPr>
            <a:xfrm>
              <a:off x="1485255" y="1866255"/>
              <a:ext cx="1429718" cy="44815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BEAEBC7F-1B5E-48C8-9193-28BB44CEE1A6}" type="TxLink">
                <a:rPr lang="en-US" sz="1400" b="1" i="0" u="none" strike="noStrike">
                  <a:solidFill>
                    <a:srgbClr val="1E7145"/>
                  </a:solidFill>
                  <a:latin typeface="Calibri"/>
                  <a:ea typeface="Calibri"/>
                  <a:cs typeface="Calibri"/>
                </a:rPr>
                <a:t>12+ months</a:t>
              </a:fld>
              <a:endParaRPr lang="en-IN" sz="1400" b="1">
                <a:solidFill>
                  <a:srgbClr val="1E7145"/>
                </a:solidFill>
              </a:endParaRPr>
            </a:p>
          </xdr:txBody>
        </xdr:sp>
      </xdr:grpSp>
      <xdr:pic>
        <xdr:nvPicPr>
          <xdr:cNvPr id="36" name="Picture 35">
            <a:extLst>
              <a:ext uri="{FF2B5EF4-FFF2-40B4-BE49-F238E27FC236}">
                <a16:creationId xmlns:a16="http://schemas.microsoft.com/office/drawing/2014/main" id="{FF62E6DB-620E-CDD0-8273-7D57AA6BAE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4960749" y="1589399"/>
            <a:ext cx="180000" cy="179295"/>
          </a:xfrm>
          <a:prstGeom prst="rect">
            <a:avLst/>
          </a:prstGeom>
        </xdr:spPr>
      </xdr:pic>
    </xdr:grpSp>
    <xdr:clientData/>
  </xdr:twoCellAnchor>
  <xdr:twoCellAnchor>
    <xdr:from>
      <xdr:col>11</xdr:col>
      <xdr:colOff>81367</xdr:colOff>
      <xdr:row>8</xdr:row>
      <xdr:rowOff>61992</xdr:rowOff>
    </xdr:from>
    <xdr:to>
      <xdr:col>13</xdr:col>
      <xdr:colOff>455909</xdr:colOff>
      <xdr:row>12</xdr:row>
      <xdr:rowOff>113652</xdr:rowOff>
    </xdr:to>
    <xdr:grpSp>
      <xdr:nvGrpSpPr>
        <xdr:cNvPr id="46" name="Group 45">
          <a:extLst>
            <a:ext uri="{FF2B5EF4-FFF2-40B4-BE49-F238E27FC236}">
              <a16:creationId xmlns:a16="http://schemas.microsoft.com/office/drawing/2014/main" id="{EDFF3B09-6AF9-5570-FB02-A9CD90EA16C7}"/>
            </a:ext>
          </a:extLst>
        </xdr:cNvPr>
        <xdr:cNvGrpSpPr/>
      </xdr:nvGrpSpPr>
      <xdr:grpSpPr>
        <a:xfrm>
          <a:off x="6757296" y="1518558"/>
          <a:ext cx="1588348" cy="779944"/>
          <a:chOff x="6786967" y="1502865"/>
          <a:chExt cx="1593742" cy="772096"/>
        </a:xfrm>
      </xdr:grpSpPr>
      <xdr:grpSp>
        <xdr:nvGrpSpPr>
          <xdr:cNvPr id="27" name="Group 26">
            <a:extLst>
              <a:ext uri="{FF2B5EF4-FFF2-40B4-BE49-F238E27FC236}">
                <a16:creationId xmlns:a16="http://schemas.microsoft.com/office/drawing/2014/main" id="{291AC1FD-584B-475C-AB8A-267964EB6BA9}"/>
              </a:ext>
            </a:extLst>
          </xdr:cNvPr>
          <xdr:cNvGrpSpPr/>
        </xdr:nvGrpSpPr>
        <xdr:grpSpPr>
          <a:xfrm>
            <a:off x="6786967" y="1502865"/>
            <a:ext cx="1593742" cy="772096"/>
            <a:chOff x="1181746" y="1556288"/>
            <a:chExt cx="1588576" cy="774915"/>
          </a:xfrm>
        </xdr:grpSpPr>
        <xdr:sp macro="" textlink="">
          <xdr:nvSpPr>
            <xdr:cNvPr id="28" name="Rectangle: Rounded Corners 27">
              <a:extLst>
                <a:ext uri="{FF2B5EF4-FFF2-40B4-BE49-F238E27FC236}">
                  <a16:creationId xmlns:a16="http://schemas.microsoft.com/office/drawing/2014/main" id="{9E52BDF7-3DFD-CC4E-25C7-71A9589D9864}"/>
                </a:ext>
              </a:extLst>
            </xdr:cNvPr>
            <xdr:cNvSpPr/>
          </xdr:nvSpPr>
          <xdr:spPr>
            <a:xfrm>
              <a:off x="1181746" y="1556288"/>
              <a:ext cx="1588576" cy="774915"/>
            </a:xfrm>
            <a:prstGeom prst="roundRect">
              <a:avLst>
                <a:gd name="adj" fmla="val 29608"/>
              </a:avLst>
            </a:prstGeom>
            <a:solidFill>
              <a:schemeClr val="bg1"/>
            </a:solidFill>
            <a:ln>
              <a:noFill/>
            </a:ln>
            <a:effectLst>
              <a:outerShdw blurRad="190500" dist="38100" dir="2700000" algn="tl" rotWithShape="0">
                <a:prstClr val="black">
                  <a:alpha val="18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IN" sz="1100"/>
            </a:p>
          </xdr:txBody>
        </xdr:sp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875F91A2-D3C9-A299-06E7-EE9E0BEEA1C7}"/>
                </a:ext>
              </a:extLst>
            </xdr:cNvPr>
            <xdr:cNvSpPr txBox="1"/>
          </xdr:nvSpPr>
          <xdr:spPr>
            <a:xfrm>
              <a:off x="1407763" y="1750017"/>
              <a:ext cx="1162373" cy="2131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900"/>
                <a:t>Breakeven Revenue</a:t>
              </a:r>
            </a:p>
            <a:p>
              <a:endParaRPr lang="en-IN" sz="900">
                <a:solidFill>
                  <a:srgbClr val="2B2E33"/>
                </a:solidFill>
              </a:endParaRPr>
            </a:p>
          </xdr:txBody>
        </xdr:sp>
        <xdr:sp macro="" textlink="Calculations!B23">
          <xdr:nvSpPr>
            <xdr:cNvPr id="30" name="TextBox 29">
              <a:extLst>
                <a:ext uri="{FF2B5EF4-FFF2-40B4-BE49-F238E27FC236}">
                  <a16:creationId xmlns:a16="http://schemas.microsoft.com/office/drawing/2014/main" id="{7BEDF290-F562-36EA-05E1-6D8EC54FF65B}"/>
                </a:ext>
              </a:extLst>
            </xdr:cNvPr>
            <xdr:cNvSpPr txBox="1"/>
          </xdr:nvSpPr>
          <xdr:spPr>
            <a:xfrm>
              <a:off x="1375475" y="1885628"/>
              <a:ext cx="1285067" cy="24539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0F28BC6F-530D-453A-A4B2-A24B15D578CF}" type="TxLink">
                <a:rPr lang="en-US" sz="1400" b="1" i="0" u="none" strike="noStrike">
                  <a:solidFill>
                    <a:srgbClr val="1E7145"/>
                  </a:solidFill>
                  <a:latin typeface="Calibri"/>
                  <a:ea typeface="Calibri"/>
                  <a:cs typeface="Calibri"/>
                </a:rPr>
                <a:t>₹ 5,20,000.00</a:t>
              </a:fld>
              <a:endParaRPr lang="en-IN" sz="1400" b="1">
                <a:solidFill>
                  <a:srgbClr val="1E7145"/>
                </a:solidFill>
              </a:endParaRPr>
            </a:p>
          </xdr:txBody>
        </xdr:sp>
      </xdr:grpSp>
      <xdr:pic>
        <xdr:nvPicPr>
          <xdr:cNvPr id="38" name="Picture 37">
            <a:extLst>
              <a:ext uri="{FF2B5EF4-FFF2-40B4-BE49-F238E27FC236}">
                <a16:creationId xmlns:a16="http://schemas.microsoft.com/office/drawing/2014/main" id="{1718A0BC-2785-E9D8-3B70-3320B7F5DDF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938074" y="1563568"/>
            <a:ext cx="216000" cy="215295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234</xdr:colOff>
      <xdr:row>13</xdr:row>
      <xdr:rowOff>81720</xdr:rowOff>
    </xdr:from>
    <xdr:to>
      <xdr:col>7</xdr:col>
      <xdr:colOff>559837</xdr:colOff>
      <xdr:row>26</xdr:row>
      <xdr:rowOff>116633</xdr:rowOff>
    </xdr:to>
    <xdr:graphicFrame macro="">
      <xdr:nvGraphicFramePr>
        <xdr:cNvPr id="40" name="Chart 2">
          <a:extLst>
            <a:ext uri="{FF2B5EF4-FFF2-40B4-BE49-F238E27FC236}">
              <a16:creationId xmlns:a16="http://schemas.microsoft.com/office/drawing/2014/main" id="{B5B7D836-0884-C188-667A-16375760EA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36083</xdr:colOff>
      <xdr:row>13</xdr:row>
      <xdr:rowOff>87644</xdr:rowOff>
    </xdr:from>
    <xdr:to>
      <xdr:col>13</xdr:col>
      <xdr:colOff>373225</xdr:colOff>
      <xdr:row>26</xdr:row>
      <xdr:rowOff>116632</xdr:rowOff>
    </xdr:to>
    <xdr:graphicFrame macro="">
      <xdr:nvGraphicFramePr>
        <xdr:cNvPr id="41" name="Chart 3">
          <a:extLst>
            <a:ext uri="{FF2B5EF4-FFF2-40B4-BE49-F238E27FC236}">
              <a16:creationId xmlns:a16="http://schemas.microsoft.com/office/drawing/2014/main" id="{859A22E0-9176-0207-E888-FE026FCBE7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4</xdr:col>
      <xdr:colOff>124408</xdr:colOff>
      <xdr:row>3</xdr:row>
      <xdr:rowOff>69979</xdr:rowOff>
    </xdr:from>
    <xdr:to>
      <xdr:col>4</xdr:col>
      <xdr:colOff>556408</xdr:colOff>
      <xdr:row>5</xdr:row>
      <xdr:rowOff>128755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76F21B5E-4654-0C24-5810-1E0F18CA6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50367" y="629816"/>
          <a:ext cx="432000" cy="43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3F5D-A51A-4350-BF04-9B90A49AEAE2}">
  <dimension ref="A1:B16"/>
  <sheetViews>
    <sheetView tabSelected="1" workbookViewId="0">
      <selection activeCell="A17" sqref="A17"/>
    </sheetView>
  </sheetViews>
  <sheetFormatPr defaultRowHeight="14.4" x14ac:dyDescent="0.3"/>
  <cols>
    <col min="1" max="1" width="32.88671875" customWidth="1"/>
    <col min="2" max="2" width="22.33203125" customWidth="1"/>
  </cols>
  <sheetData>
    <row r="1" spans="1:2" x14ac:dyDescent="0.3">
      <c r="A1" t="s">
        <v>0</v>
      </c>
    </row>
    <row r="3" spans="1:2" x14ac:dyDescent="0.3">
      <c r="A3" t="s">
        <v>1</v>
      </c>
      <c r="B3" s="1">
        <v>600000</v>
      </c>
    </row>
    <row r="4" spans="1:2" x14ac:dyDescent="0.3">
      <c r="A4" t="s">
        <v>2</v>
      </c>
      <c r="B4" s="1">
        <v>1500000</v>
      </c>
    </row>
    <row r="5" spans="1:2" x14ac:dyDescent="0.3">
      <c r="A5" t="s">
        <v>3</v>
      </c>
      <c r="B5">
        <v>12</v>
      </c>
    </row>
    <row r="7" spans="1:2" ht="15.6" x14ac:dyDescent="0.3">
      <c r="A7" s="3" t="s">
        <v>4</v>
      </c>
    </row>
    <row r="8" spans="1:2" x14ac:dyDescent="0.3">
      <c r="A8" t="s">
        <v>5</v>
      </c>
      <c r="B8" s="1">
        <v>40000</v>
      </c>
    </row>
    <row r="9" spans="1:2" x14ac:dyDescent="0.3">
      <c r="A9" t="s">
        <v>6</v>
      </c>
      <c r="B9" s="1">
        <v>180000</v>
      </c>
    </row>
    <row r="10" spans="1:2" x14ac:dyDescent="0.3">
      <c r="A10" t="s">
        <v>7</v>
      </c>
      <c r="B10" s="1">
        <v>15000</v>
      </c>
    </row>
    <row r="11" spans="1:2" x14ac:dyDescent="0.3">
      <c r="A11" t="s">
        <v>8</v>
      </c>
      <c r="B11" s="1">
        <v>25000</v>
      </c>
    </row>
    <row r="12" spans="1:2" x14ac:dyDescent="0.3">
      <c r="A12" s="4" t="s">
        <v>9</v>
      </c>
      <c r="B12" s="5">
        <f>SUM(B8:B11)</f>
        <v>260000</v>
      </c>
    </row>
    <row r="14" spans="1:2" ht="15.6" x14ac:dyDescent="0.3">
      <c r="A14" s="3" t="s">
        <v>10</v>
      </c>
    </row>
    <row r="15" spans="1:2" x14ac:dyDescent="0.3">
      <c r="A15" t="s">
        <v>11</v>
      </c>
      <c r="B15" s="6">
        <v>0.35</v>
      </c>
    </row>
    <row r="16" spans="1:2" x14ac:dyDescent="0.3">
      <c r="A16" t="s">
        <v>12</v>
      </c>
      <c r="B16" s="6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18086-B2C2-42AB-BE2C-610287ED38E3}">
  <dimension ref="A1:D9"/>
  <sheetViews>
    <sheetView workbookViewId="0">
      <selection activeCell="B9" sqref="B9"/>
    </sheetView>
  </sheetViews>
  <sheetFormatPr defaultRowHeight="14.4" x14ac:dyDescent="0.3"/>
  <cols>
    <col min="1" max="1" width="20.6640625" customWidth="1"/>
    <col min="2" max="2" width="22" customWidth="1"/>
    <col min="4" max="4" width="12.21875" customWidth="1"/>
  </cols>
  <sheetData>
    <row r="1" spans="1:4" x14ac:dyDescent="0.3">
      <c r="A1" t="s">
        <v>13</v>
      </c>
    </row>
    <row r="3" spans="1:4" x14ac:dyDescent="0.3">
      <c r="A3" s="2" t="s">
        <v>14</v>
      </c>
      <c r="B3" s="2" t="s">
        <v>15</v>
      </c>
      <c r="C3" s="2" t="s">
        <v>11</v>
      </c>
      <c r="D3" s="2" t="s">
        <v>12</v>
      </c>
    </row>
    <row r="4" spans="1:4" x14ac:dyDescent="0.3">
      <c r="A4" t="s">
        <v>16</v>
      </c>
      <c r="B4" s="6">
        <v>0.08</v>
      </c>
      <c r="C4" s="6">
        <v>0.32</v>
      </c>
      <c r="D4" s="6">
        <v>0.15</v>
      </c>
    </row>
    <row r="5" spans="1:4" x14ac:dyDescent="0.3">
      <c r="A5" t="s">
        <v>17</v>
      </c>
      <c r="B5" s="6">
        <v>0.04</v>
      </c>
      <c r="C5" s="6">
        <v>0.35</v>
      </c>
      <c r="D5" s="6">
        <v>0.15</v>
      </c>
    </row>
    <row r="6" spans="1:4" x14ac:dyDescent="0.3">
      <c r="A6" t="s">
        <v>18</v>
      </c>
      <c r="B6" s="6">
        <v>-0.02</v>
      </c>
      <c r="C6" s="6">
        <v>0.4</v>
      </c>
      <c r="D6" s="6">
        <v>0.18</v>
      </c>
    </row>
    <row r="9" spans="1:4" x14ac:dyDescent="0.3">
      <c r="A9" s="2" t="s">
        <v>19</v>
      </c>
      <c r="B9" s="7" t="s">
        <v>16</v>
      </c>
    </row>
  </sheetData>
  <dataValidations count="1">
    <dataValidation type="list" allowBlank="1" showInputMessage="1" showErrorMessage="1" sqref="B9" xr:uid="{5BE44F47-80F4-450F-BC95-922F4439AD8E}">
      <formula1>$A$4:$A$6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3D17-EC29-439E-B229-02C94B006CEB}">
  <dimension ref="A1:K25"/>
  <sheetViews>
    <sheetView zoomScale="64" workbookViewId="0">
      <selection activeCell="I33" sqref="I33"/>
    </sheetView>
  </sheetViews>
  <sheetFormatPr defaultRowHeight="14.4" x14ac:dyDescent="0.3"/>
  <cols>
    <col min="1" max="1" width="24.88671875" customWidth="1"/>
    <col min="2" max="2" width="23.44140625" customWidth="1"/>
    <col min="3" max="3" width="18.33203125" customWidth="1"/>
    <col min="4" max="4" width="20" customWidth="1"/>
    <col min="5" max="5" width="24.33203125" customWidth="1"/>
    <col min="6" max="6" width="17.5546875" customWidth="1"/>
    <col min="7" max="7" width="21.21875" customWidth="1"/>
    <col min="9" max="9" width="15.88671875" customWidth="1"/>
    <col min="10" max="10" width="16.88671875" customWidth="1"/>
    <col min="11" max="11" width="19.44140625" customWidth="1"/>
  </cols>
  <sheetData>
    <row r="1" spans="1:11" x14ac:dyDescent="0.3">
      <c r="A1" t="s">
        <v>20</v>
      </c>
    </row>
    <row r="3" spans="1:11" x14ac:dyDescent="0.3">
      <c r="A3" t="s">
        <v>21</v>
      </c>
      <c r="B3" s="8">
        <f>INDEX(Scenarios!B4:B6,MATCH(Dashboard!D7,Scenarios!A4:A6,0))</f>
        <v>0.04</v>
      </c>
    </row>
    <row r="4" spans="1:11" x14ac:dyDescent="0.3">
      <c r="A4" t="s">
        <v>22</v>
      </c>
      <c r="B4" s="8">
        <f>INDEX(Scenarios!C4:C6,MATCH(Dashboard!D7,Scenarios!A4:A6,0))</f>
        <v>0.35</v>
      </c>
    </row>
    <row r="5" spans="1:11" x14ac:dyDescent="0.3">
      <c r="A5" t="s">
        <v>23</v>
      </c>
      <c r="B5" s="8">
        <f>INDEX(Scenarios!D4:D6,MATCH(Dashboard!D7,Scenarios!A4:A6,0))</f>
        <v>0.15</v>
      </c>
    </row>
    <row r="8" spans="1:11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9" t="s">
        <v>29</v>
      </c>
      <c r="G8" s="9" t="s">
        <v>30</v>
      </c>
      <c r="H8" s="9" t="s">
        <v>35</v>
      </c>
      <c r="J8" s="9" t="s">
        <v>36</v>
      </c>
      <c r="K8" s="9" t="s">
        <v>37</v>
      </c>
    </row>
    <row r="9" spans="1:11" x14ac:dyDescent="0.3">
      <c r="A9" s="10">
        <v>1</v>
      </c>
      <c r="B9" s="1">
        <f>Inputs!B3</f>
        <v>600000</v>
      </c>
      <c r="C9" s="1">
        <f>B9*B4</f>
        <v>210000</v>
      </c>
      <c r="D9" s="1">
        <f>B9*B5</f>
        <v>90000</v>
      </c>
      <c r="E9" s="1">
        <f>Inputs!B12</f>
        <v>260000</v>
      </c>
      <c r="F9" s="1">
        <f>B9-C9-D9-E9</f>
        <v>40000</v>
      </c>
      <c r="G9" s="1">
        <f>Inputs!B4+F9</f>
        <v>1540000</v>
      </c>
      <c r="H9">
        <f>0</f>
        <v>0</v>
      </c>
      <c r="J9" t="s">
        <v>38</v>
      </c>
      <c r="K9" s="1">
        <f>B9</f>
        <v>600000</v>
      </c>
    </row>
    <row r="10" spans="1:11" x14ac:dyDescent="0.3">
      <c r="A10" s="10">
        <v>2</v>
      </c>
      <c r="B10" s="1">
        <f>B9*(1+$B$3)</f>
        <v>624000</v>
      </c>
      <c r="C10" s="1">
        <f>B10*$B$4</f>
        <v>218400</v>
      </c>
      <c r="D10" s="1">
        <f>B10*$B$5</f>
        <v>93600</v>
      </c>
      <c r="E10" s="1">
        <f>Inputs!$B$12</f>
        <v>260000</v>
      </c>
      <c r="F10" s="1">
        <f>B10-C10-D10-E10</f>
        <v>52000</v>
      </c>
      <c r="G10" s="1">
        <f>G9+F10</f>
        <v>1592000</v>
      </c>
      <c r="H10">
        <f>0</f>
        <v>0</v>
      </c>
      <c r="J10" t="s">
        <v>39</v>
      </c>
      <c r="K10" s="1">
        <f>B23</f>
        <v>520000</v>
      </c>
    </row>
    <row r="11" spans="1:11" x14ac:dyDescent="0.3">
      <c r="A11" s="10">
        <v>3</v>
      </c>
      <c r="B11" s="1">
        <f t="shared" ref="B11:B20" si="0">B10*(1+$B$3)</f>
        <v>648960</v>
      </c>
      <c r="C11" s="1">
        <f t="shared" ref="C11:C20" si="1">B11*$B$4</f>
        <v>227136</v>
      </c>
      <c r="D11" s="1">
        <f t="shared" ref="D11:D20" si="2">B11*$B$5</f>
        <v>97344</v>
      </c>
      <c r="E11" s="1">
        <f>Inputs!$B$12</f>
        <v>260000</v>
      </c>
      <c r="F11" s="1">
        <f t="shared" ref="F11:F20" si="3">B11-C11-D11-E11</f>
        <v>64480</v>
      </c>
      <c r="G11" s="1">
        <f t="shared" ref="G11:G20" si="4">G10+F11</f>
        <v>1656480</v>
      </c>
      <c r="H11">
        <f>0</f>
        <v>0</v>
      </c>
    </row>
    <row r="12" spans="1:11" x14ac:dyDescent="0.3">
      <c r="A12" s="10">
        <v>4</v>
      </c>
      <c r="B12" s="1">
        <f t="shared" si="0"/>
        <v>674918.40000000002</v>
      </c>
      <c r="C12" s="1">
        <f t="shared" si="1"/>
        <v>236221.44</v>
      </c>
      <c r="D12" s="1">
        <f t="shared" si="2"/>
        <v>101237.75999999999</v>
      </c>
      <c r="E12" s="1">
        <f>Inputs!$B$12</f>
        <v>260000</v>
      </c>
      <c r="F12" s="1">
        <f t="shared" si="3"/>
        <v>77459.200000000012</v>
      </c>
      <c r="G12" s="1">
        <f t="shared" si="4"/>
        <v>1733939.2</v>
      </c>
      <c r="H12">
        <f>0</f>
        <v>0</v>
      </c>
    </row>
    <row r="13" spans="1:11" x14ac:dyDescent="0.3">
      <c r="A13" s="10">
        <v>5</v>
      </c>
      <c r="B13" s="1">
        <f t="shared" si="0"/>
        <v>701915.13600000006</v>
      </c>
      <c r="C13" s="1">
        <f t="shared" si="1"/>
        <v>245670.29759999999</v>
      </c>
      <c r="D13" s="1">
        <f t="shared" si="2"/>
        <v>105287.27040000001</v>
      </c>
      <c r="E13" s="1">
        <f>Inputs!$B$12</f>
        <v>260000</v>
      </c>
      <c r="F13" s="1">
        <f t="shared" si="3"/>
        <v>90957.568000000087</v>
      </c>
      <c r="G13" s="1">
        <f t="shared" si="4"/>
        <v>1824896.7680000002</v>
      </c>
      <c r="H13">
        <f>0</f>
        <v>0</v>
      </c>
    </row>
    <row r="14" spans="1:11" x14ac:dyDescent="0.3">
      <c r="A14" s="10">
        <v>6</v>
      </c>
      <c r="B14" s="1">
        <f t="shared" si="0"/>
        <v>729991.74144000013</v>
      </c>
      <c r="C14" s="1">
        <f t="shared" si="1"/>
        <v>255497.10950400002</v>
      </c>
      <c r="D14" s="1">
        <f t="shared" si="2"/>
        <v>109498.76121600001</v>
      </c>
      <c r="E14" s="1">
        <f>Inputs!$B$12</f>
        <v>260000</v>
      </c>
      <c r="F14" s="1">
        <f t="shared" si="3"/>
        <v>104995.87072000006</v>
      </c>
      <c r="G14" s="1">
        <f t="shared" si="4"/>
        <v>1929892.6387200002</v>
      </c>
      <c r="H14">
        <f>0</f>
        <v>0</v>
      </c>
    </row>
    <row r="15" spans="1:11" x14ac:dyDescent="0.3">
      <c r="A15" s="10">
        <v>7</v>
      </c>
      <c r="B15" s="1">
        <f t="shared" si="0"/>
        <v>759191.41109760012</v>
      </c>
      <c r="C15" s="1">
        <f t="shared" si="1"/>
        <v>265716.99388416001</v>
      </c>
      <c r="D15" s="1">
        <f t="shared" si="2"/>
        <v>113878.71166464001</v>
      </c>
      <c r="E15" s="1">
        <f>Inputs!$B$12</f>
        <v>260000</v>
      </c>
      <c r="F15" s="1">
        <f t="shared" si="3"/>
        <v>119595.70554880012</v>
      </c>
      <c r="G15" s="1">
        <f t="shared" si="4"/>
        <v>2049488.3442688002</v>
      </c>
      <c r="H15">
        <f>0</f>
        <v>0</v>
      </c>
    </row>
    <row r="16" spans="1:11" x14ac:dyDescent="0.3">
      <c r="A16" s="10">
        <v>8</v>
      </c>
      <c r="B16" s="1">
        <f t="shared" si="0"/>
        <v>789559.06754150416</v>
      </c>
      <c r="C16" s="1">
        <f t="shared" si="1"/>
        <v>276345.67363952642</v>
      </c>
      <c r="D16" s="1">
        <f t="shared" si="2"/>
        <v>118433.86013122562</v>
      </c>
      <c r="E16" s="1">
        <f>Inputs!$B$12</f>
        <v>260000</v>
      </c>
      <c r="F16" s="1">
        <f t="shared" si="3"/>
        <v>134779.53377075214</v>
      </c>
      <c r="G16" s="1">
        <f t="shared" si="4"/>
        <v>2184267.8780395524</v>
      </c>
      <c r="H16">
        <f>0</f>
        <v>0</v>
      </c>
    </row>
    <row r="17" spans="1:8" x14ac:dyDescent="0.3">
      <c r="A17" s="10">
        <v>9</v>
      </c>
      <c r="B17" s="1">
        <f t="shared" si="0"/>
        <v>821141.4302431643</v>
      </c>
      <c r="C17" s="1">
        <f t="shared" si="1"/>
        <v>287399.50058510748</v>
      </c>
      <c r="D17" s="1">
        <f t="shared" si="2"/>
        <v>123171.21453647464</v>
      </c>
      <c r="E17" s="1">
        <f>Inputs!$B$12</f>
        <v>260000</v>
      </c>
      <c r="F17" s="1">
        <f t="shared" si="3"/>
        <v>150570.71512158215</v>
      </c>
      <c r="G17" s="1">
        <f t="shared" si="4"/>
        <v>2334838.5931611345</v>
      </c>
      <c r="H17">
        <f>0</f>
        <v>0</v>
      </c>
    </row>
    <row r="18" spans="1:8" x14ac:dyDescent="0.3">
      <c r="A18" s="10">
        <v>10</v>
      </c>
      <c r="B18" s="1">
        <f t="shared" si="0"/>
        <v>853987.08745289093</v>
      </c>
      <c r="C18" s="1">
        <f t="shared" si="1"/>
        <v>298895.48060851183</v>
      </c>
      <c r="D18" s="1">
        <f t="shared" si="2"/>
        <v>128098.06311793363</v>
      </c>
      <c r="E18" s="1">
        <f>Inputs!$B$12</f>
        <v>260000</v>
      </c>
      <c r="F18" s="1">
        <f t="shared" si="3"/>
        <v>166993.54372644547</v>
      </c>
      <c r="G18" s="1">
        <f t="shared" si="4"/>
        <v>2501832.1368875802</v>
      </c>
      <c r="H18">
        <f>0</f>
        <v>0</v>
      </c>
    </row>
    <row r="19" spans="1:8" x14ac:dyDescent="0.3">
      <c r="A19" s="10">
        <v>11</v>
      </c>
      <c r="B19" s="1">
        <f t="shared" si="0"/>
        <v>888146.57095100661</v>
      </c>
      <c r="C19" s="1">
        <f t="shared" si="1"/>
        <v>310851.29983285227</v>
      </c>
      <c r="D19" s="1">
        <f t="shared" si="2"/>
        <v>133221.98564265098</v>
      </c>
      <c r="E19" s="1">
        <f>Inputs!$B$12</f>
        <v>260000</v>
      </c>
      <c r="F19" s="1">
        <f t="shared" si="3"/>
        <v>184073.2854755033</v>
      </c>
      <c r="G19" s="1">
        <f t="shared" si="4"/>
        <v>2685905.4223630833</v>
      </c>
      <c r="H19">
        <f>0</f>
        <v>0</v>
      </c>
    </row>
    <row r="20" spans="1:8" x14ac:dyDescent="0.3">
      <c r="A20" s="10">
        <v>12</v>
      </c>
      <c r="B20" s="1">
        <f t="shared" si="0"/>
        <v>923672.43378904695</v>
      </c>
      <c r="C20" s="1">
        <f t="shared" si="1"/>
        <v>323285.35182616638</v>
      </c>
      <c r="D20" s="1">
        <f t="shared" si="2"/>
        <v>138550.86506835703</v>
      </c>
      <c r="E20" s="1">
        <f>Inputs!$B$12</f>
        <v>260000</v>
      </c>
      <c r="F20" s="1">
        <f t="shared" si="3"/>
        <v>201836.21689452353</v>
      </c>
      <c r="G20" s="1">
        <f t="shared" si="4"/>
        <v>2887741.6392576071</v>
      </c>
      <c r="H20">
        <f>0</f>
        <v>0</v>
      </c>
    </row>
    <row r="22" spans="1:8" x14ac:dyDescent="0.3">
      <c r="A22" t="s">
        <v>31</v>
      </c>
      <c r="B22" s="10" t="str" cm="1">
        <f t="array" ref="B22">IFERROR(MATCH(TRUE,INDEX(G9:G20&lt;0,0),0)&amp;" months","12+ months")</f>
        <v>12+ months</v>
      </c>
    </row>
    <row r="23" spans="1:8" x14ac:dyDescent="0.3">
      <c r="A23" t="s">
        <v>32</v>
      </c>
      <c r="B23" s="1">
        <f>E9/(1-B4-B5)</f>
        <v>520000</v>
      </c>
    </row>
    <row r="25" spans="1:8" x14ac:dyDescent="0.3">
      <c r="A25" t="s">
        <v>34</v>
      </c>
      <c r="B25" s="1">
        <f>SUM(F9:F20)</f>
        <v>1387741.6392576068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81369-EE7D-48AC-9611-4F0E0253F485}">
  <dimension ref="A1:BT224"/>
  <sheetViews>
    <sheetView showGridLines="0" topLeftCell="A4" zoomScale="113" zoomScaleNormal="113" workbookViewId="0">
      <selection activeCell="D7" sqref="D7"/>
    </sheetView>
  </sheetViews>
  <sheetFormatPr defaultRowHeight="14.4" x14ac:dyDescent="0.3"/>
  <sheetData>
    <row r="1" spans="1:72" x14ac:dyDescent="0.3">
      <c r="A1" s="11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</row>
    <row r="2" spans="1:72" x14ac:dyDescent="0.3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</row>
    <row r="3" spans="1:72" x14ac:dyDescent="0.3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x14ac:dyDescent="0.3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  <c r="BC4" s="11"/>
      <c r="BD4" s="11"/>
      <c r="BE4" s="11"/>
      <c r="BF4" s="11"/>
      <c r="BG4" s="11"/>
      <c r="BH4" s="11"/>
      <c r="BI4" s="11"/>
      <c r="BJ4" s="11"/>
      <c r="BK4" s="11"/>
      <c r="BL4" s="11"/>
      <c r="BM4" s="11"/>
      <c r="BN4" s="11"/>
      <c r="BO4" s="11"/>
      <c r="BP4" s="11"/>
      <c r="BQ4" s="11"/>
      <c r="BR4" s="11"/>
      <c r="BS4" s="11"/>
      <c r="BT4" s="11"/>
    </row>
    <row r="5" spans="1:72" x14ac:dyDescent="0.3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</row>
    <row r="6" spans="1:72" x14ac:dyDescent="0.3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  <c r="BC6" s="11"/>
      <c r="BD6" s="11"/>
      <c r="BE6" s="11"/>
      <c r="BF6" s="11"/>
      <c r="BG6" s="11"/>
      <c r="BH6" s="11"/>
      <c r="BI6" s="11"/>
      <c r="BJ6" s="11"/>
      <c r="BK6" s="11"/>
      <c r="BL6" s="11"/>
      <c r="BM6" s="11"/>
      <c r="BN6" s="11"/>
      <c r="BO6" s="11"/>
      <c r="BP6" s="11"/>
      <c r="BQ6" s="11"/>
      <c r="BR6" s="11"/>
      <c r="BS6" s="11"/>
      <c r="BT6" s="11"/>
    </row>
    <row r="7" spans="1:72" x14ac:dyDescent="0.3">
      <c r="A7" s="11"/>
      <c r="B7" s="11"/>
      <c r="C7" s="12" t="s">
        <v>33</v>
      </c>
      <c r="D7" s="13" t="s">
        <v>17</v>
      </c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</row>
    <row r="8" spans="1:72" x14ac:dyDescent="0.3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</row>
    <row r="9" spans="1:72" x14ac:dyDescent="0.3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  <c r="BT9" s="11"/>
    </row>
    <row r="10" spans="1:72" x14ac:dyDescent="0.3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</row>
    <row r="11" spans="1:72" x14ac:dyDescent="0.3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</row>
    <row r="12" spans="1:72" x14ac:dyDescent="0.3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</row>
    <row r="13" spans="1:72" x14ac:dyDescent="0.3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</row>
    <row r="14" spans="1:72" x14ac:dyDescent="0.3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</row>
    <row r="15" spans="1:72" x14ac:dyDescent="0.3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</row>
    <row r="16" spans="1:72" x14ac:dyDescent="0.3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</row>
    <row r="17" spans="1:72" x14ac:dyDescent="0.3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</row>
    <row r="18" spans="1:72" x14ac:dyDescent="0.3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</row>
    <row r="19" spans="1:72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  <c r="BL19" s="11"/>
      <c r="BM19" s="11"/>
      <c r="BN19" s="11"/>
      <c r="BO19" s="11"/>
      <c r="BP19" s="11"/>
      <c r="BQ19" s="11"/>
      <c r="BR19" s="11"/>
      <c r="BS19" s="11"/>
      <c r="BT19" s="11"/>
    </row>
    <row r="20" spans="1:72" x14ac:dyDescent="0.3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</row>
    <row r="21" spans="1:72" x14ac:dyDescent="0.3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  <c r="BL21" s="11"/>
      <c r="BM21" s="11"/>
      <c r="BN21" s="11"/>
      <c r="BO21" s="11"/>
      <c r="BP21" s="11"/>
      <c r="BQ21" s="11"/>
      <c r="BR21" s="11"/>
      <c r="BS21" s="11"/>
      <c r="BT21" s="11"/>
    </row>
    <row r="22" spans="1:72" x14ac:dyDescent="0.3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  <c r="BL22" s="11"/>
      <c r="BM22" s="11"/>
      <c r="BN22" s="11"/>
      <c r="BO22" s="11"/>
      <c r="BP22" s="11"/>
      <c r="BQ22" s="11"/>
      <c r="BR22" s="11"/>
      <c r="BS22" s="11"/>
      <c r="BT22" s="11"/>
    </row>
    <row r="23" spans="1:72" x14ac:dyDescent="0.3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1"/>
      <c r="BQ23" s="11"/>
      <c r="BR23" s="11"/>
      <c r="BS23" s="11"/>
      <c r="BT23" s="11"/>
    </row>
    <row r="24" spans="1:72" x14ac:dyDescent="0.3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</row>
    <row r="25" spans="1:72" x14ac:dyDescent="0.3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1"/>
      <c r="BQ25" s="11"/>
      <c r="BR25" s="11"/>
      <c r="BS25" s="11"/>
      <c r="BT25" s="11"/>
    </row>
    <row r="26" spans="1:72" x14ac:dyDescent="0.3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1"/>
      <c r="BQ26" s="11"/>
      <c r="BR26" s="11"/>
      <c r="BS26" s="11"/>
      <c r="BT26" s="11"/>
    </row>
    <row r="27" spans="1:72" x14ac:dyDescent="0.3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  <c r="BT27" s="11"/>
    </row>
    <row r="28" spans="1:72" x14ac:dyDescent="0.3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</row>
    <row r="29" spans="1:72" x14ac:dyDescent="0.3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</row>
    <row r="30" spans="1:72" x14ac:dyDescent="0.3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1"/>
      <c r="BQ30" s="11"/>
      <c r="BR30" s="11"/>
      <c r="BS30" s="11"/>
      <c r="BT30" s="11"/>
    </row>
    <row r="31" spans="1:72" x14ac:dyDescent="0.3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  <c r="BL31" s="11"/>
      <c r="BM31" s="11"/>
      <c r="BN31" s="11"/>
      <c r="BO31" s="11"/>
      <c r="BP31" s="11"/>
      <c r="BQ31" s="11"/>
      <c r="BR31" s="11"/>
      <c r="BS31" s="11"/>
      <c r="BT31" s="11"/>
    </row>
    <row r="32" spans="1:72" x14ac:dyDescent="0.3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1"/>
      <c r="BQ32" s="11"/>
      <c r="BR32" s="11"/>
      <c r="BS32" s="11"/>
      <c r="BT32" s="11"/>
    </row>
    <row r="33" spans="1:72" x14ac:dyDescent="0.3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  <c r="BQ33" s="11"/>
      <c r="BR33" s="11"/>
      <c r="BS33" s="11"/>
      <c r="BT33" s="11"/>
    </row>
    <row r="34" spans="1:72" x14ac:dyDescent="0.3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  <c r="BQ34" s="11"/>
      <c r="BR34" s="11"/>
      <c r="BS34" s="11"/>
      <c r="BT34" s="11"/>
    </row>
    <row r="35" spans="1:72" x14ac:dyDescent="0.3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  <c r="BQ35" s="11"/>
      <c r="BR35" s="11"/>
      <c r="BS35" s="11"/>
      <c r="BT35" s="11"/>
    </row>
    <row r="36" spans="1:72" x14ac:dyDescent="0.3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  <c r="BQ36" s="11"/>
      <c r="BR36" s="11"/>
      <c r="BS36" s="11"/>
      <c r="BT36" s="11"/>
    </row>
    <row r="37" spans="1:72" x14ac:dyDescent="0.3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  <c r="BQ37" s="11"/>
      <c r="BR37" s="11"/>
      <c r="BS37" s="11"/>
      <c r="BT37" s="11"/>
    </row>
    <row r="38" spans="1:72" x14ac:dyDescent="0.3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  <c r="BQ38" s="11"/>
      <c r="BR38" s="11"/>
      <c r="BS38" s="11"/>
      <c r="BT38" s="11"/>
    </row>
    <row r="39" spans="1:72" x14ac:dyDescent="0.3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  <c r="BQ39" s="11"/>
      <c r="BR39" s="11"/>
      <c r="BS39" s="11"/>
      <c r="BT39" s="11"/>
    </row>
    <row r="40" spans="1:72" x14ac:dyDescent="0.3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  <c r="BQ40" s="11"/>
      <c r="BR40" s="11"/>
      <c r="BS40" s="11"/>
      <c r="BT40" s="11"/>
    </row>
    <row r="41" spans="1:72" x14ac:dyDescent="0.3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</row>
    <row r="42" spans="1:72" x14ac:dyDescent="0.3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</row>
    <row r="43" spans="1:72" x14ac:dyDescent="0.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</row>
    <row r="44" spans="1:72" x14ac:dyDescent="0.3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</row>
    <row r="45" spans="1:72" x14ac:dyDescent="0.3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  <c r="BQ45" s="11"/>
      <c r="BR45" s="11"/>
      <c r="BS45" s="11"/>
      <c r="BT45" s="11"/>
    </row>
    <row r="46" spans="1:72" x14ac:dyDescent="0.3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  <c r="BQ46" s="11"/>
      <c r="BR46" s="11"/>
      <c r="BS46" s="11"/>
      <c r="BT46" s="11"/>
    </row>
    <row r="47" spans="1:72" x14ac:dyDescent="0.3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</row>
    <row r="48" spans="1:72" x14ac:dyDescent="0.3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  <c r="BD48" s="11"/>
      <c r="BE48" s="11"/>
      <c r="BF48" s="11"/>
      <c r="BG48" s="11"/>
      <c r="BH48" s="11"/>
      <c r="BI48" s="11"/>
      <c r="BJ48" s="11"/>
      <c r="BK48" s="11"/>
      <c r="BL48" s="11"/>
      <c r="BM48" s="11"/>
      <c r="BN48" s="11"/>
      <c r="BO48" s="11"/>
      <c r="BP48" s="11"/>
      <c r="BQ48" s="11"/>
      <c r="BR48" s="11"/>
      <c r="BS48" s="11"/>
      <c r="BT48" s="11"/>
    </row>
    <row r="49" spans="1:72" x14ac:dyDescent="0.3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</row>
    <row r="50" spans="1:72" x14ac:dyDescent="0.3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1"/>
      <c r="BQ50" s="11"/>
      <c r="BR50" s="11"/>
      <c r="BS50" s="11"/>
      <c r="BT50" s="11"/>
    </row>
    <row r="51" spans="1:72" x14ac:dyDescent="0.3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1"/>
      <c r="BQ51" s="11"/>
      <c r="BR51" s="11"/>
      <c r="BS51" s="11"/>
      <c r="BT51" s="11"/>
    </row>
    <row r="52" spans="1:72" x14ac:dyDescent="0.3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  <c r="BT52" s="11"/>
    </row>
    <row r="53" spans="1:72" x14ac:dyDescent="0.3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  <c r="BC53" s="11"/>
      <c r="BD53" s="11"/>
      <c r="BE53" s="11"/>
      <c r="BF53" s="11"/>
      <c r="BG53" s="11"/>
      <c r="BH53" s="11"/>
      <c r="BI53" s="11"/>
      <c r="BJ53" s="11"/>
      <c r="BK53" s="11"/>
      <c r="BL53" s="11"/>
      <c r="BM53" s="11"/>
      <c r="BN53" s="11"/>
      <c r="BO53" s="11"/>
      <c r="BP53" s="11"/>
      <c r="BQ53" s="11"/>
      <c r="BR53" s="11"/>
      <c r="BS53" s="11"/>
      <c r="BT53" s="11"/>
    </row>
    <row r="54" spans="1:72" x14ac:dyDescent="0.3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1"/>
      <c r="BQ54" s="11"/>
      <c r="BR54" s="11"/>
      <c r="BS54" s="11"/>
      <c r="BT54" s="11"/>
    </row>
    <row r="55" spans="1:72" x14ac:dyDescent="0.3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1"/>
      <c r="BG55" s="11"/>
      <c r="BH55" s="11"/>
      <c r="BI55" s="11"/>
      <c r="BJ55" s="11"/>
      <c r="BK55" s="11"/>
      <c r="BL55" s="11"/>
      <c r="BM55" s="11"/>
      <c r="BN55" s="11"/>
      <c r="BO55" s="11"/>
      <c r="BP55" s="11"/>
      <c r="BQ55" s="11"/>
      <c r="BR55" s="11"/>
      <c r="BS55" s="11"/>
      <c r="BT55" s="11"/>
    </row>
    <row r="56" spans="1:72" x14ac:dyDescent="0.3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  <c r="BC56" s="11"/>
      <c r="BD56" s="11"/>
      <c r="BE56" s="11"/>
      <c r="BF56" s="11"/>
      <c r="BG56" s="11"/>
      <c r="BH56" s="11"/>
      <c r="BI56" s="11"/>
      <c r="BJ56" s="11"/>
      <c r="BK56" s="11"/>
      <c r="BL56" s="11"/>
      <c r="BM56" s="11"/>
      <c r="BN56" s="11"/>
      <c r="BO56" s="11"/>
      <c r="BP56" s="11"/>
      <c r="BQ56" s="11"/>
      <c r="BR56" s="11"/>
      <c r="BS56" s="11"/>
      <c r="BT56" s="11"/>
    </row>
    <row r="57" spans="1:72" x14ac:dyDescent="0.3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  <c r="BT57" s="11"/>
    </row>
    <row r="58" spans="1:72" x14ac:dyDescent="0.3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  <c r="BC58" s="11"/>
      <c r="BD58" s="11"/>
      <c r="BE58" s="11"/>
      <c r="BF58" s="11"/>
      <c r="BG58" s="11"/>
      <c r="BH58" s="11"/>
      <c r="BI58" s="11"/>
      <c r="BJ58" s="11"/>
      <c r="BK58" s="11"/>
      <c r="BL58" s="11"/>
      <c r="BM58" s="11"/>
      <c r="BN58" s="11"/>
      <c r="BO58" s="11"/>
      <c r="BP58" s="11"/>
      <c r="BQ58" s="11"/>
      <c r="BR58" s="11"/>
      <c r="BS58" s="11"/>
      <c r="BT58" s="11"/>
    </row>
    <row r="59" spans="1:72" x14ac:dyDescent="0.3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  <c r="BC59" s="11"/>
      <c r="BD59" s="11"/>
      <c r="BE59" s="11"/>
      <c r="BF59" s="11"/>
      <c r="BG59" s="11"/>
      <c r="BH59" s="11"/>
      <c r="BI59" s="11"/>
      <c r="BJ59" s="11"/>
      <c r="BK59" s="11"/>
      <c r="BL59" s="11"/>
      <c r="BM59" s="11"/>
      <c r="BN59" s="11"/>
      <c r="BO59" s="11"/>
      <c r="BP59" s="11"/>
      <c r="BQ59" s="11"/>
      <c r="BR59" s="11"/>
      <c r="BS59" s="11"/>
      <c r="BT59" s="11"/>
    </row>
    <row r="60" spans="1:72" x14ac:dyDescent="0.3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</row>
    <row r="61" spans="1:72" x14ac:dyDescent="0.3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1"/>
      <c r="BQ61" s="11"/>
      <c r="BR61" s="11"/>
      <c r="BS61" s="11"/>
      <c r="BT61" s="11"/>
    </row>
    <row r="62" spans="1:72" x14ac:dyDescent="0.3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  <c r="BT62" s="11"/>
    </row>
    <row r="63" spans="1:72" x14ac:dyDescent="0.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  <c r="BC63" s="11"/>
      <c r="BD63" s="11"/>
      <c r="BE63" s="11"/>
      <c r="BF63" s="11"/>
      <c r="BG63" s="11"/>
      <c r="BH63" s="11"/>
      <c r="BI63" s="11"/>
      <c r="BJ63" s="11"/>
      <c r="BK63" s="11"/>
      <c r="BL63" s="11"/>
      <c r="BM63" s="11"/>
      <c r="BN63" s="11"/>
      <c r="BO63" s="11"/>
      <c r="BP63" s="11"/>
      <c r="BQ63" s="11"/>
      <c r="BR63" s="11"/>
      <c r="BS63" s="11"/>
      <c r="BT63" s="11"/>
    </row>
    <row r="64" spans="1:72" x14ac:dyDescent="0.3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  <c r="BC64" s="11"/>
      <c r="BD64" s="11"/>
      <c r="BE64" s="11"/>
      <c r="BF64" s="11"/>
      <c r="BG64" s="11"/>
      <c r="BH64" s="11"/>
      <c r="BI64" s="11"/>
      <c r="BJ64" s="11"/>
      <c r="BK64" s="11"/>
      <c r="BL64" s="11"/>
      <c r="BM64" s="11"/>
      <c r="BN64" s="11"/>
      <c r="BO64" s="11"/>
      <c r="BP64" s="11"/>
      <c r="BQ64" s="11"/>
      <c r="BR64" s="11"/>
      <c r="BS64" s="11"/>
      <c r="BT64" s="11"/>
    </row>
    <row r="65" spans="1:72" x14ac:dyDescent="0.3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  <c r="BC65" s="11"/>
      <c r="BD65" s="11"/>
      <c r="BE65" s="11"/>
      <c r="BF65" s="11"/>
      <c r="BG65" s="11"/>
      <c r="BH65" s="11"/>
      <c r="BI65" s="11"/>
      <c r="BJ65" s="11"/>
      <c r="BK65" s="11"/>
      <c r="BL65" s="11"/>
      <c r="BM65" s="11"/>
      <c r="BN65" s="11"/>
      <c r="BO65" s="11"/>
      <c r="BP65" s="11"/>
      <c r="BQ65" s="11"/>
      <c r="BR65" s="11"/>
      <c r="BS65" s="11"/>
      <c r="BT65" s="11"/>
    </row>
    <row r="66" spans="1:72" x14ac:dyDescent="0.3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  <c r="BC66" s="11"/>
      <c r="BD66" s="11"/>
      <c r="BE66" s="11"/>
      <c r="BF66" s="11"/>
      <c r="BG66" s="11"/>
      <c r="BH66" s="11"/>
      <c r="BI66" s="11"/>
      <c r="BJ66" s="11"/>
      <c r="BK66" s="11"/>
      <c r="BL66" s="11"/>
      <c r="BM66" s="11"/>
      <c r="BN66" s="11"/>
      <c r="BO66" s="11"/>
      <c r="BP66" s="11"/>
      <c r="BQ66" s="11"/>
      <c r="BR66" s="11"/>
      <c r="BS66" s="11"/>
      <c r="BT66" s="11"/>
    </row>
    <row r="67" spans="1:72" x14ac:dyDescent="0.3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1"/>
      <c r="BQ67" s="11"/>
      <c r="BR67" s="11"/>
      <c r="BS67" s="11"/>
      <c r="BT67" s="11"/>
    </row>
    <row r="68" spans="1:72" x14ac:dyDescent="0.3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  <c r="BC68" s="11"/>
      <c r="BD68" s="11"/>
      <c r="BE68" s="11"/>
      <c r="BF68" s="11"/>
      <c r="BG68" s="11"/>
      <c r="BH68" s="11"/>
      <c r="BI68" s="11"/>
      <c r="BJ68" s="11"/>
      <c r="BK68" s="11"/>
      <c r="BL68" s="11"/>
      <c r="BM68" s="11"/>
      <c r="BN68" s="11"/>
      <c r="BO68" s="11"/>
      <c r="BP68" s="11"/>
      <c r="BQ68" s="11"/>
      <c r="BR68" s="11"/>
      <c r="BS68" s="11"/>
      <c r="BT68" s="11"/>
    </row>
    <row r="69" spans="1:72" x14ac:dyDescent="0.3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  <c r="BT69" s="11"/>
    </row>
    <row r="70" spans="1:72" x14ac:dyDescent="0.3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  <c r="BC70" s="11"/>
      <c r="BD70" s="11"/>
      <c r="BE70" s="11"/>
      <c r="BF70" s="11"/>
      <c r="BG70" s="11"/>
      <c r="BH70" s="11"/>
      <c r="BI70" s="11"/>
      <c r="BJ70" s="11"/>
      <c r="BK70" s="11"/>
      <c r="BL70" s="11"/>
      <c r="BM70" s="11"/>
      <c r="BN70" s="11"/>
      <c r="BO70" s="11"/>
      <c r="BP70" s="11"/>
      <c r="BQ70" s="11"/>
      <c r="BR70" s="11"/>
      <c r="BS70" s="11"/>
      <c r="BT70" s="11"/>
    </row>
    <row r="71" spans="1:72" x14ac:dyDescent="0.3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  <c r="BC71" s="11"/>
      <c r="BD71" s="11"/>
      <c r="BE71" s="11"/>
      <c r="BF71" s="11"/>
      <c r="BG71" s="11"/>
      <c r="BH71" s="11"/>
      <c r="BI71" s="11"/>
      <c r="BJ71" s="11"/>
      <c r="BK71" s="11"/>
      <c r="BL71" s="11"/>
      <c r="BM71" s="11"/>
      <c r="BN71" s="11"/>
      <c r="BO71" s="11"/>
      <c r="BP71" s="11"/>
      <c r="BQ71" s="11"/>
      <c r="BR71" s="11"/>
      <c r="BS71" s="11"/>
      <c r="BT71" s="11"/>
    </row>
    <row r="72" spans="1:72" x14ac:dyDescent="0.3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  <c r="BC72" s="11"/>
      <c r="BD72" s="11"/>
      <c r="BE72" s="11"/>
      <c r="BF72" s="11"/>
      <c r="BG72" s="11"/>
      <c r="BH72" s="11"/>
      <c r="BI72" s="11"/>
      <c r="BJ72" s="11"/>
      <c r="BK72" s="11"/>
      <c r="BL72" s="11"/>
      <c r="BM72" s="11"/>
      <c r="BN72" s="11"/>
      <c r="BO72" s="11"/>
      <c r="BP72" s="11"/>
      <c r="BQ72" s="11"/>
      <c r="BR72" s="11"/>
      <c r="BS72" s="11"/>
      <c r="BT72" s="11"/>
    </row>
    <row r="73" spans="1:72" x14ac:dyDescent="0.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1"/>
      <c r="BQ73" s="11"/>
      <c r="BR73" s="11"/>
      <c r="BS73" s="11"/>
      <c r="BT73" s="11"/>
    </row>
    <row r="74" spans="1:72" x14ac:dyDescent="0.3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  <c r="BC74" s="11"/>
      <c r="BD74" s="11"/>
      <c r="BE74" s="11"/>
      <c r="BF74" s="11"/>
      <c r="BG74" s="11"/>
      <c r="BH74" s="11"/>
      <c r="BI74" s="11"/>
      <c r="BJ74" s="11"/>
      <c r="BK74" s="11"/>
      <c r="BL74" s="11"/>
      <c r="BM74" s="11"/>
      <c r="BN74" s="11"/>
      <c r="BO74" s="11"/>
      <c r="BP74" s="11"/>
      <c r="BQ74" s="11"/>
      <c r="BR74" s="11"/>
      <c r="BS74" s="11"/>
      <c r="BT74" s="11"/>
    </row>
    <row r="75" spans="1:72" x14ac:dyDescent="0.3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  <c r="BC75" s="11"/>
      <c r="BD75" s="11"/>
      <c r="BE75" s="11"/>
      <c r="BF75" s="11"/>
      <c r="BG75" s="11"/>
      <c r="BH75" s="11"/>
      <c r="BI75" s="11"/>
      <c r="BJ75" s="11"/>
      <c r="BK75" s="11"/>
      <c r="BL75" s="11"/>
      <c r="BM75" s="11"/>
      <c r="BN75" s="11"/>
      <c r="BO75" s="11"/>
      <c r="BP75" s="11"/>
      <c r="BQ75" s="11"/>
      <c r="BR75" s="11"/>
      <c r="BS75" s="11"/>
      <c r="BT75" s="11"/>
    </row>
    <row r="76" spans="1:72" x14ac:dyDescent="0.3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  <c r="BC76" s="11"/>
      <c r="BD76" s="11"/>
      <c r="BE76" s="11"/>
      <c r="BF76" s="11"/>
      <c r="BG76" s="11"/>
      <c r="BH76" s="11"/>
      <c r="BI76" s="11"/>
      <c r="BJ76" s="11"/>
      <c r="BK76" s="11"/>
      <c r="BL76" s="11"/>
      <c r="BM76" s="11"/>
      <c r="BN76" s="11"/>
      <c r="BO76" s="11"/>
      <c r="BP76" s="11"/>
      <c r="BQ76" s="11"/>
      <c r="BR76" s="11"/>
      <c r="BS76" s="11"/>
      <c r="BT76" s="11"/>
    </row>
    <row r="77" spans="1:72" x14ac:dyDescent="0.3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  <c r="BC77" s="11"/>
      <c r="BD77" s="11"/>
      <c r="BE77" s="11"/>
      <c r="BF77" s="11"/>
      <c r="BG77" s="11"/>
      <c r="BH77" s="11"/>
      <c r="BI77" s="11"/>
      <c r="BJ77" s="11"/>
      <c r="BK77" s="11"/>
      <c r="BL77" s="11"/>
      <c r="BM77" s="11"/>
      <c r="BN77" s="11"/>
      <c r="BO77" s="11"/>
      <c r="BP77" s="11"/>
      <c r="BQ77" s="11"/>
      <c r="BR77" s="11"/>
      <c r="BS77" s="11"/>
      <c r="BT77" s="11"/>
    </row>
    <row r="78" spans="1:72" x14ac:dyDescent="0.3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  <c r="BC78" s="11"/>
      <c r="BD78" s="11"/>
      <c r="BE78" s="11"/>
      <c r="BF78" s="11"/>
      <c r="BG78" s="11"/>
      <c r="BH78" s="11"/>
      <c r="BI78" s="11"/>
      <c r="BJ78" s="11"/>
      <c r="BK78" s="11"/>
      <c r="BL78" s="11"/>
      <c r="BM78" s="11"/>
      <c r="BN78" s="11"/>
      <c r="BO78" s="11"/>
      <c r="BP78" s="11"/>
      <c r="BQ78" s="11"/>
      <c r="BR78" s="11"/>
      <c r="BS78" s="11"/>
      <c r="BT78" s="11"/>
    </row>
    <row r="79" spans="1:72" x14ac:dyDescent="0.3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  <c r="BC79" s="11"/>
      <c r="BD79" s="11"/>
      <c r="BE79" s="11"/>
      <c r="BF79" s="11"/>
      <c r="BG79" s="11"/>
      <c r="BH79" s="11"/>
      <c r="BI79" s="11"/>
      <c r="BJ79" s="11"/>
      <c r="BK79" s="11"/>
      <c r="BL79" s="11"/>
      <c r="BM79" s="11"/>
      <c r="BN79" s="11"/>
      <c r="BO79" s="11"/>
      <c r="BP79" s="11"/>
      <c r="BQ79" s="11"/>
      <c r="BR79" s="11"/>
      <c r="BS79" s="11"/>
      <c r="BT79" s="11"/>
    </row>
    <row r="80" spans="1:72" x14ac:dyDescent="0.3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  <c r="BC80" s="11"/>
      <c r="BD80" s="11"/>
      <c r="BE80" s="11"/>
      <c r="BF80" s="11"/>
      <c r="BG80" s="11"/>
      <c r="BH80" s="11"/>
      <c r="BI80" s="11"/>
      <c r="BJ80" s="11"/>
      <c r="BK80" s="11"/>
      <c r="BL80" s="11"/>
      <c r="BM80" s="11"/>
      <c r="BN80" s="11"/>
      <c r="BO80" s="11"/>
      <c r="BP80" s="11"/>
      <c r="BQ80" s="11"/>
      <c r="BR80" s="11"/>
      <c r="BS80" s="11"/>
      <c r="BT80" s="11"/>
    </row>
    <row r="81" spans="1:72" x14ac:dyDescent="0.3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  <c r="BC81" s="11"/>
      <c r="BD81" s="11"/>
      <c r="BE81" s="11"/>
      <c r="BF81" s="11"/>
      <c r="BG81" s="11"/>
      <c r="BH81" s="11"/>
      <c r="BI81" s="11"/>
      <c r="BJ81" s="11"/>
      <c r="BK81" s="11"/>
      <c r="BL81" s="11"/>
      <c r="BM81" s="11"/>
      <c r="BN81" s="11"/>
      <c r="BO81" s="11"/>
      <c r="BP81" s="11"/>
      <c r="BQ81" s="11"/>
      <c r="BR81" s="11"/>
      <c r="BS81" s="11"/>
      <c r="BT81" s="11"/>
    </row>
    <row r="82" spans="1:72" x14ac:dyDescent="0.3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1"/>
      <c r="BQ82" s="11"/>
      <c r="BR82" s="11"/>
      <c r="BS82" s="11"/>
      <c r="BT82" s="11"/>
    </row>
    <row r="83" spans="1:72" x14ac:dyDescent="0.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1"/>
      <c r="BQ83" s="11"/>
      <c r="BR83" s="11"/>
      <c r="BS83" s="11"/>
      <c r="BT83" s="11"/>
    </row>
    <row r="84" spans="1:72" x14ac:dyDescent="0.3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  <c r="BC84" s="11"/>
      <c r="BD84" s="11"/>
      <c r="BE84" s="11"/>
      <c r="BF84" s="11"/>
      <c r="BG84" s="11"/>
      <c r="BH84" s="11"/>
      <c r="BI84" s="11"/>
      <c r="BJ84" s="11"/>
      <c r="BK84" s="11"/>
      <c r="BL84" s="11"/>
      <c r="BM84" s="11"/>
      <c r="BN84" s="11"/>
      <c r="BO84" s="11"/>
      <c r="BP84" s="11"/>
      <c r="BQ84" s="11"/>
      <c r="BR84" s="11"/>
      <c r="BS84" s="11"/>
      <c r="BT84" s="11"/>
    </row>
    <row r="85" spans="1:72" x14ac:dyDescent="0.3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  <c r="BC85" s="11"/>
      <c r="BD85" s="11"/>
      <c r="BE85" s="11"/>
      <c r="BF85" s="11"/>
      <c r="BG85" s="11"/>
      <c r="BH85" s="11"/>
      <c r="BI85" s="11"/>
      <c r="BJ85" s="11"/>
      <c r="BK85" s="11"/>
      <c r="BL85" s="11"/>
      <c r="BM85" s="11"/>
      <c r="BN85" s="11"/>
      <c r="BO85" s="11"/>
      <c r="BP85" s="11"/>
      <c r="BQ85" s="11"/>
      <c r="BR85" s="11"/>
      <c r="BS85" s="11"/>
      <c r="BT85" s="11"/>
    </row>
    <row r="86" spans="1:72" x14ac:dyDescent="0.3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  <c r="BC86" s="11"/>
      <c r="BD86" s="11"/>
      <c r="BE86" s="11"/>
      <c r="BF86" s="11"/>
      <c r="BG86" s="11"/>
      <c r="BH86" s="11"/>
      <c r="BI86" s="11"/>
      <c r="BJ86" s="11"/>
      <c r="BK86" s="11"/>
      <c r="BL86" s="11"/>
      <c r="BM86" s="11"/>
      <c r="BN86" s="11"/>
      <c r="BO86" s="11"/>
      <c r="BP86" s="11"/>
      <c r="BQ86" s="11"/>
      <c r="BR86" s="11"/>
      <c r="BS86" s="11"/>
      <c r="BT86" s="11"/>
    </row>
    <row r="87" spans="1:72" x14ac:dyDescent="0.3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  <c r="BC87" s="11"/>
      <c r="BD87" s="11"/>
      <c r="BE87" s="11"/>
      <c r="BF87" s="11"/>
      <c r="BG87" s="11"/>
      <c r="BH87" s="11"/>
      <c r="BI87" s="11"/>
      <c r="BJ87" s="11"/>
      <c r="BK87" s="11"/>
      <c r="BL87" s="11"/>
      <c r="BM87" s="11"/>
      <c r="BN87" s="11"/>
      <c r="BO87" s="11"/>
      <c r="BP87" s="11"/>
      <c r="BQ87" s="11"/>
      <c r="BR87" s="11"/>
      <c r="BS87" s="11"/>
      <c r="BT87" s="11"/>
    </row>
    <row r="88" spans="1:72" x14ac:dyDescent="0.3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  <c r="BC88" s="11"/>
      <c r="BD88" s="11"/>
      <c r="BE88" s="11"/>
      <c r="BF88" s="11"/>
      <c r="BG88" s="11"/>
      <c r="BH88" s="11"/>
      <c r="BI88" s="11"/>
      <c r="BJ88" s="11"/>
      <c r="BK88" s="11"/>
      <c r="BL88" s="11"/>
      <c r="BM88" s="11"/>
      <c r="BN88" s="11"/>
      <c r="BO88" s="11"/>
      <c r="BP88" s="11"/>
      <c r="BQ88" s="11"/>
      <c r="BR88" s="11"/>
      <c r="BS88" s="11"/>
      <c r="BT88" s="11"/>
    </row>
    <row r="89" spans="1:72" x14ac:dyDescent="0.3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  <c r="BC89" s="11"/>
      <c r="BD89" s="11"/>
      <c r="BE89" s="11"/>
      <c r="BF89" s="11"/>
      <c r="BG89" s="11"/>
      <c r="BH89" s="11"/>
      <c r="BI89" s="11"/>
      <c r="BJ89" s="11"/>
      <c r="BK89" s="11"/>
      <c r="BL89" s="11"/>
      <c r="BM89" s="11"/>
      <c r="BN89" s="11"/>
      <c r="BO89" s="11"/>
      <c r="BP89" s="11"/>
      <c r="BQ89" s="11"/>
      <c r="BR89" s="11"/>
      <c r="BS89" s="11"/>
      <c r="BT89" s="11"/>
    </row>
    <row r="90" spans="1:72" x14ac:dyDescent="0.3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  <c r="BC90" s="11"/>
      <c r="BD90" s="11"/>
      <c r="BE90" s="11"/>
      <c r="BF90" s="11"/>
      <c r="BG90" s="11"/>
      <c r="BH90" s="11"/>
      <c r="BI90" s="11"/>
      <c r="BJ90" s="11"/>
      <c r="BK90" s="11"/>
      <c r="BL90" s="11"/>
      <c r="BM90" s="11"/>
      <c r="BN90" s="11"/>
      <c r="BO90" s="11"/>
      <c r="BP90" s="11"/>
      <c r="BQ90" s="11"/>
      <c r="BR90" s="11"/>
      <c r="BS90" s="11"/>
      <c r="BT90" s="11"/>
    </row>
    <row r="91" spans="1:72" x14ac:dyDescent="0.3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  <c r="BC91" s="11"/>
      <c r="BD91" s="11"/>
      <c r="BE91" s="11"/>
      <c r="BF91" s="11"/>
      <c r="BG91" s="11"/>
      <c r="BH91" s="11"/>
      <c r="BI91" s="11"/>
      <c r="BJ91" s="11"/>
      <c r="BK91" s="11"/>
      <c r="BL91" s="11"/>
      <c r="BM91" s="11"/>
      <c r="BN91" s="11"/>
      <c r="BO91" s="11"/>
      <c r="BP91" s="11"/>
      <c r="BQ91" s="11"/>
      <c r="BR91" s="11"/>
      <c r="BS91" s="11"/>
      <c r="BT91" s="11"/>
    </row>
    <row r="92" spans="1:72" x14ac:dyDescent="0.3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  <c r="BC92" s="11"/>
      <c r="BD92" s="11"/>
      <c r="BE92" s="11"/>
      <c r="BF92" s="11"/>
      <c r="BG92" s="11"/>
      <c r="BH92" s="11"/>
      <c r="BI92" s="11"/>
      <c r="BJ92" s="11"/>
      <c r="BK92" s="11"/>
      <c r="BL92" s="11"/>
      <c r="BM92" s="11"/>
      <c r="BN92" s="11"/>
      <c r="BO92" s="11"/>
      <c r="BP92" s="11"/>
      <c r="BQ92" s="11"/>
      <c r="BR92" s="11"/>
      <c r="BS92" s="11"/>
      <c r="BT92" s="11"/>
    </row>
    <row r="93" spans="1:72" x14ac:dyDescent="0.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  <c r="BC93" s="11"/>
      <c r="BD93" s="11"/>
      <c r="BE93" s="11"/>
      <c r="BF93" s="11"/>
      <c r="BG93" s="11"/>
      <c r="BH93" s="11"/>
      <c r="BI93" s="11"/>
      <c r="BJ93" s="11"/>
      <c r="BK93" s="11"/>
      <c r="BL93" s="11"/>
      <c r="BM93" s="11"/>
      <c r="BN93" s="11"/>
      <c r="BO93" s="11"/>
      <c r="BP93" s="11"/>
      <c r="BQ93" s="11"/>
      <c r="BR93" s="11"/>
      <c r="BS93" s="11"/>
      <c r="BT93" s="11"/>
    </row>
    <row r="94" spans="1:72" x14ac:dyDescent="0.3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  <c r="BC94" s="11"/>
      <c r="BD94" s="11"/>
      <c r="BE94" s="11"/>
      <c r="BF94" s="11"/>
      <c r="BG94" s="11"/>
      <c r="BH94" s="11"/>
      <c r="BI94" s="11"/>
      <c r="BJ94" s="11"/>
      <c r="BK94" s="11"/>
      <c r="BL94" s="11"/>
      <c r="BM94" s="11"/>
      <c r="BN94" s="11"/>
      <c r="BO94" s="11"/>
      <c r="BP94" s="11"/>
      <c r="BQ94" s="11"/>
      <c r="BR94" s="11"/>
      <c r="BS94" s="11"/>
      <c r="BT94" s="11"/>
    </row>
    <row r="95" spans="1:72" x14ac:dyDescent="0.3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  <c r="BC95" s="11"/>
      <c r="BD95" s="11"/>
      <c r="BE95" s="11"/>
      <c r="BF95" s="11"/>
      <c r="BG95" s="11"/>
      <c r="BH95" s="11"/>
      <c r="BI95" s="11"/>
      <c r="BJ95" s="11"/>
      <c r="BK95" s="11"/>
      <c r="BL95" s="11"/>
      <c r="BM95" s="11"/>
      <c r="BN95" s="11"/>
      <c r="BO95" s="11"/>
      <c r="BP95" s="11"/>
      <c r="BQ95" s="11"/>
      <c r="BR95" s="11"/>
      <c r="BS95" s="11"/>
      <c r="BT95" s="11"/>
    </row>
    <row r="96" spans="1:72" x14ac:dyDescent="0.3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  <c r="BC96" s="11"/>
      <c r="BD96" s="11"/>
      <c r="BE96" s="11"/>
      <c r="BF96" s="11"/>
      <c r="BG96" s="11"/>
      <c r="BH96" s="11"/>
      <c r="BI96" s="11"/>
      <c r="BJ96" s="11"/>
      <c r="BK96" s="11"/>
      <c r="BL96" s="11"/>
      <c r="BM96" s="11"/>
      <c r="BN96" s="11"/>
      <c r="BO96" s="11"/>
      <c r="BP96" s="11"/>
      <c r="BQ96" s="11"/>
      <c r="BR96" s="11"/>
      <c r="BS96" s="11"/>
      <c r="BT96" s="11"/>
    </row>
    <row r="97" spans="1:72" x14ac:dyDescent="0.3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  <c r="BC97" s="11"/>
      <c r="BD97" s="11"/>
      <c r="BE97" s="11"/>
      <c r="BF97" s="11"/>
      <c r="BG97" s="11"/>
      <c r="BH97" s="11"/>
      <c r="BI97" s="11"/>
      <c r="BJ97" s="11"/>
      <c r="BK97" s="11"/>
      <c r="BL97" s="11"/>
      <c r="BM97" s="11"/>
      <c r="BN97" s="11"/>
      <c r="BO97" s="11"/>
      <c r="BP97" s="11"/>
      <c r="BQ97" s="11"/>
      <c r="BR97" s="11"/>
      <c r="BS97" s="11"/>
      <c r="BT97" s="11"/>
    </row>
    <row r="98" spans="1:72" x14ac:dyDescent="0.3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  <c r="BC98" s="11"/>
      <c r="BD98" s="11"/>
      <c r="BE98" s="11"/>
      <c r="BF98" s="11"/>
      <c r="BG98" s="11"/>
      <c r="BH98" s="11"/>
      <c r="BI98" s="11"/>
      <c r="BJ98" s="11"/>
      <c r="BK98" s="11"/>
      <c r="BL98" s="11"/>
      <c r="BM98" s="11"/>
      <c r="BN98" s="11"/>
      <c r="BO98" s="11"/>
      <c r="BP98" s="11"/>
      <c r="BQ98" s="11"/>
      <c r="BR98" s="11"/>
      <c r="BS98" s="11"/>
      <c r="BT98" s="11"/>
    </row>
    <row r="99" spans="1:72" x14ac:dyDescent="0.3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  <c r="BC99" s="11"/>
      <c r="BD99" s="11"/>
      <c r="BE99" s="11"/>
      <c r="BF99" s="11"/>
      <c r="BG99" s="11"/>
      <c r="BH99" s="11"/>
      <c r="BI99" s="11"/>
      <c r="BJ99" s="11"/>
      <c r="BK99" s="11"/>
      <c r="BL99" s="11"/>
      <c r="BM99" s="11"/>
      <c r="BN99" s="11"/>
      <c r="BO99" s="11"/>
      <c r="BP99" s="11"/>
      <c r="BQ99" s="11"/>
      <c r="BR99" s="11"/>
      <c r="BS99" s="11"/>
      <c r="BT99" s="11"/>
    </row>
    <row r="100" spans="1:72" x14ac:dyDescent="0.3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  <c r="BC100" s="11"/>
      <c r="BD100" s="11"/>
      <c r="BE100" s="11"/>
      <c r="BF100" s="11"/>
      <c r="BG100" s="11"/>
      <c r="BH100" s="11"/>
      <c r="BI100" s="11"/>
      <c r="BJ100" s="11"/>
      <c r="BK100" s="11"/>
      <c r="BL100" s="11"/>
      <c r="BM100" s="11"/>
      <c r="BN100" s="11"/>
      <c r="BO100" s="11"/>
      <c r="BP100" s="11"/>
      <c r="BQ100" s="11"/>
      <c r="BR100" s="11"/>
      <c r="BS100" s="11"/>
      <c r="BT100" s="11"/>
    </row>
    <row r="101" spans="1:72" x14ac:dyDescent="0.3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  <c r="BC101" s="11"/>
      <c r="BD101" s="11"/>
      <c r="BE101" s="11"/>
      <c r="BF101" s="11"/>
      <c r="BG101" s="11"/>
      <c r="BH101" s="11"/>
      <c r="BI101" s="11"/>
      <c r="BJ101" s="11"/>
      <c r="BK101" s="11"/>
      <c r="BL101" s="11"/>
      <c r="BM101" s="11"/>
      <c r="BN101" s="11"/>
      <c r="BO101" s="11"/>
      <c r="BP101" s="11"/>
      <c r="BQ101" s="11"/>
      <c r="BR101" s="11"/>
      <c r="BS101" s="11"/>
      <c r="BT101" s="11"/>
    </row>
    <row r="102" spans="1:72" x14ac:dyDescent="0.3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  <c r="BC102" s="11"/>
      <c r="BD102" s="11"/>
      <c r="BE102" s="11"/>
      <c r="BF102" s="11"/>
      <c r="BG102" s="11"/>
      <c r="BH102" s="11"/>
      <c r="BI102" s="11"/>
      <c r="BJ102" s="11"/>
      <c r="BK102" s="11"/>
      <c r="BL102" s="11"/>
      <c r="BM102" s="11"/>
      <c r="BN102" s="11"/>
      <c r="BO102" s="11"/>
      <c r="BP102" s="11"/>
      <c r="BQ102" s="11"/>
      <c r="BR102" s="11"/>
      <c r="BS102" s="11"/>
      <c r="BT102" s="11"/>
    </row>
    <row r="103" spans="1:72" x14ac:dyDescent="0.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  <c r="BC103" s="11"/>
      <c r="BD103" s="11"/>
      <c r="BE103" s="11"/>
      <c r="BF103" s="11"/>
      <c r="BG103" s="11"/>
      <c r="BH103" s="11"/>
      <c r="BI103" s="11"/>
      <c r="BJ103" s="11"/>
      <c r="BK103" s="11"/>
      <c r="BL103" s="11"/>
      <c r="BM103" s="11"/>
      <c r="BN103" s="11"/>
      <c r="BO103" s="11"/>
      <c r="BP103" s="11"/>
      <c r="BQ103" s="11"/>
      <c r="BR103" s="11"/>
      <c r="BS103" s="11"/>
      <c r="BT103" s="11"/>
    </row>
    <row r="104" spans="1:72" x14ac:dyDescent="0.3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  <c r="BC104" s="11"/>
      <c r="BD104" s="11"/>
      <c r="BE104" s="11"/>
      <c r="BF104" s="11"/>
      <c r="BG104" s="11"/>
      <c r="BH104" s="11"/>
      <c r="BI104" s="11"/>
      <c r="BJ104" s="11"/>
      <c r="BK104" s="11"/>
      <c r="BL104" s="11"/>
      <c r="BM104" s="11"/>
      <c r="BN104" s="11"/>
      <c r="BO104" s="11"/>
      <c r="BP104" s="11"/>
      <c r="BQ104" s="11"/>
      <c r="BR104" s="11"/>
      <c r="BS104" s="11"/>
      <c r="BT104" s="11"/>
    </row>
    <row r="105" spans="1:72" x14ac:dyDescent="0.3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  <c r="BC105" s="11"/>
      <c r="BD105" s="11"/>
      <c r="BE105" s="11"/>
      <c r="BF105" s="11"/>
      <c r="BG105" s="11"/>
      <c r="BH105" s="11"/>
      <c r="BI105" s="11"/>
      <c r="BJ105" s="11"/>
      <c r="BK105" s="11"/>
      <c r="BL105" s="11"/>
      <c r="BM105" s="11"/>
      <c r="BN105" s="11"/>
      <c r="BO105" s="11"/>
      <c r="BP105" s="11"/>
      <c r="BQ105" s="11"/>
      <c r="BR105" s="11"/>
      <c r="BS105" s="11"/>
      <c r="BT105" s="11"/>
    </row>
    <row r="106" spans="1:72" x14ac:dyDescent="0.3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  <c r="BC106" s="11"/>
      <c r="BD106" s="11"/>
      <c r="BE106" s="11"/>
      <c r="BF106" s="11"/>
      <c r="BG106" s="11"/>
      <c r="BH106" s="11"/>
      <c r="BI106" s="11"/>
      <c r="BJ106" s="11"/>
      <c r="BK106" s="11"/>
      <c r="BL106" s="11"/>
      <c r="BM106" s="11"/>
      <c r="BN106" s="11"/>
      <c r="BO106" s="11"/>
      <c r="BP106" s="11"/>
      <c r="BQ106" s="11"/>
      <c r="BR106" s="11"/>
      <c r="BS106" s="11"/>
      <c r="BT106" s="11"/>
    </row>
    <row r="107" spans="1:72" x14ac:dyDescent="0.3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  <c r="BC107" s="11"/>
      <c r="BD107" s="11"/>
      <c r="BE107" s="11"/>
      <c r="BF107" s="11"/>
      <c r="BG107" s="11"/>
      <c r="BH107" s="11"/>
      <c r="BI107" s="11"/>
      <c r="BJ107" s="11"/>
      <c r="BK107" s="11"/>
      <c r="BL107" s="11"/>
      <c r="BM107" s="11"/>
      <c r="BN107" s="11"/>
      <c r="BO107" s="11"/>
      <c r="BP107" s="11"/>
      <c r="BQ107" s="11"/>
      <c r="BR107" s="11"/>
      <c r="BS107" s="11"/>
      <c r="BT107" s="11"/>
    </row>
    <row r="108" spans="1:72" x14ac:dyDescent="0.3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  <c r="BC108" s="11"/>
      <c r="BD108" s="11"/>
      <c r="BE108" s="11"/>
      <c r="BF108" s="11"/>
      <c r="BG108" s="11"/>
      <c r="BH108" s="11"/>
      <c r="BI108" s="11"/>
      <c r="BJ108" s="11"/>
      <c r="BK108" s="11"/>
      <c r="BL108" s="11"/>
      <c r="BM108" s="11"/>
      <c r="BN108" s="11"/>
      <c r="BO108" s="11"/>
      <c r="BP108" s="11"/>
      <c r="BQ108" s="11"/>
      <c r="BR108" s="11"/>
      <c r="BS108" s="11"/>
      <c r="BT108" s="11"/>
    </row>
    <row r="109" spans="1:72" x14ac:dyDescent="0.3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  <c r="BC109" s="11"/>
      <c r="BD109" s="11"/>
      <c r="BE109" s="11"/>
      <c r="BF109" s="11"/>
      <c r="BG109" s="11"/>
      <c r="BH109" s="11"/>
      <c r="BI109" s="11"/>
      <c r="BJ109" s="11"/>
      <c r="BK109" s="11"/>
      <c r="BL109" s="11"/>
      <c r="BM109" s="11"/>
      <c r="BN109" s="11"/>
      <c r="BO109" s="11"/>
      <c r="BP109" s="11"/>
      <c r="BQ109" s="11"/>
      <c r="BR109" s="11"/>
      <c r="BS109" s="11"/>
      <c r="BT109" s="11"/>
    </row>
    <row r="110" spans="1:72" x14ac:dyDescent="0.3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  <c r="BC110" s="11"/>
      <c r="BD110" s="11"/>
      <c r="BE110" s="11"/>
      <c r="BF110" s="11"/>
      <c r="BG110" s="11"/>
      <c r="BH110" s="11"/>
      <c r="BI110" s="11"/>
      <c r="BJ110" s="11"/>
      <c r="BK110" s="11"/>
      <c r="BL110" s="11"/>
      <c r="BM110" s="11"/>
      <c r="BN110" s="11"/>
      <c r="BO110" s="11"/>
      <c r="BP110" s="11"/>
      <c r="BQ110" s="11"/>
      <c r="BR110" s="11"/>
      <c r="BS110" s="11"/>
      <c r="BT110" s="11"/>
    </row>
    <row r="111" spans="1:72" x14ac:dyDescent="0.3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  <c r="BC111" s="11"/>
      <c r="BD111" s="11"/>
      <c r="BE111" s="11"/>
      <c r="BF111" s="11"/>
      <c r="BG111" s="11"/>
      <c r="BH111" s="11"/>
      <c r="BI111" s="11"/>
      <c r="BJ111" s="11"/>
      <c r="BK111" s="11"/>
      <c r="BL111" s="11"/>
      <c r="BM111" s="11"/>
      <c r="BN111" s="11"/>
      <c r="BO111" s="11"/>
      <c r="BP111" s="11"/>
      <c r="BQ111" s="11"/>
      <c r="BR111" s="11"/>
      <c r="BS111" s="11"/>
      <c r="BT111" s="11"/>
    </row>
    <row r="112" spans="1:72" x14ac:dyDescent="0.3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  <c r="BC112" s="11"/>
      <c r="BD112" s="11"/>
      <c r="BE112" s="11"/>
      <c r="BF112" s="11"/>
      <c r="BG112" s="11"/>
      <c r="BH112" s="11"/>
      <c r="BI112" s="11"/>
      <c r="BJ112" s="11"/>
      <c r="BK112" s="11"/>
      <c r="BL112" s="11"/>
      <c r="BM112" s="11"/>
      <c r="BN112" s="11"/>
      <c r="BO112" s="11"/>
      <c r="BP112" s="11"/>
      <c r="BQ112" s="11"/>
      <c r="BR112" s="11"/>
      <c r="BS112" s="11"/>
      <c r="BT112" s="11"/>
    </row>
    <row r="113" spans="1:72" x14ac:dyDescent="0.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  <c r="BC113" s="11"/>
      <c r="BD113" s="11"/>
      <c r="BE113" s="11"/>
      <c r="BF113" s="11"/>
      <c r="BG113" s="11"/>
      <c r="BH113" s="11"/>
      <c r="BI113" s="11"/>
      <c r="BJ113" s="11"/>
      <c r="BK113" s="11"/>
      <c r="BL113" s="11"/>
      <c r="BM113" s="11"/>
      <c r="BN113" s="11"/>
      <c r="BO113" s="11"/>
      <c r="BP113" s="11"/>
      <c r="BQ113" s="11"/>
      <c r="BR113" s="11"/>
      <c r="BS113" s="11"/>
      <c r="BT113" s="11"/>
    </row>
    <row r="114" spans="1:72" x14ac:dyDescent="0.3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  <c r="BC114" s="11"/>
      <c r="BD114" s="11"/>
      <c r="BE114" s="11"/>
      <c r="BF114" s="11"/>
      <c r="BG114" s="11"/>
      <c r="BH114" s="11"/>
      <c r="BI114" s="11"/>
      <c r="BJ114" s="11"/>
      <c r="BK114" s="11"/>
      <c r="BL114" s="11"/>
      <c r="BM114" s="11"/>
      <c r="BN114" s="11"/>
      <c r="BO114" s="11"/>
      <c r="BP114" s="11"/>
      <c r="BQ114" s="11"/>
      <c r="BR114" s="11"/>
      <c r="BS114" s="11"/>
      <c r="BT114" s="11"/>
    </row>
    <row r="115" spans="1:72" x14ac:dyDescent="0.3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  <c r="BC115" s="11"/>
      <c r="BD115" s="11"/>
      <c r="BE115" s="11"/>
      <c r="BF115" s="11"/>
      <c r="BG115" s="11"/>
      <c r="BH115" s="11"/>
      <c r="BI115" s="11"/>
      <c r="BJ115" s="11"/>
      <c r="BK115" s="11"/>
      <c r="BL115" s="11"/>
      <c r="BM115" s="11"/>
      <c r="BN115" s="11"/>
      <c r="BO115" s="11"/>
      <c r="BP115" s="11"/>
      <c r="BQ115" s="11"/>
      <c r="BR115" s="11"/>
      <c r="BS115" s="11"/>
      <c r="BT115" s="11"/>
    </row>
    <row r="116" spans="1:72" x14ac:dyDescent="0.3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  <c r="BC116" s="11"/>
      <c r="BD116" s="11"/>
      <c r="BE116" s="11"/>
      <c r="BF116" s="11"/>
      <c r="BG116" s="11"/>
      <c r="BH116" s="11"/>
      <c r="BI116" s="11"/>
      <c r="BJ116" s="11"/>
      <c r="BK116" s="11"/>
      <c r="BL116" s="11"/>
      <c r="BM116" s="11"/>
      <c r="BN116" s="11"/>
      <c r="BO116" s="11"/>
      <c r="BP116" s="11"/>
      <c r="BQ116" s="11"/>
      <c r="BR116" s="11"/>
      <c r="BS116" s="11"/>
      <c r="BT116" s="11"/>
    </row>
    <row r="117" spans="1:72" x14ac:dyDescent="0.3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  <c r="BL117" s="11"/>
      <c r="BM117" s="11"/>
      <c r="BN117" s="11"/>
      <c r="BO117" s="11"/>
      <c r="BP117" s="11"/>
      <c r="BQ117" s="11"/>
      <c r="BR117" s="11"/>
      <c r="BS117" s="11"/>
      <c r="BT117" s="11"/>
    </row>
    <row r="118" spans="1:72" x14ac:dyDescent="0.3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  <c r="BL118" s="11"/>
      <c r="BM118" s="11"/>
      <c r="BN118" s="11"/>
      <c r="BO118" s="11"/>
      <c r="BP118" s="11"/>
      <c r="BQ118" s="11"/>
      <c r="BR118" s="11"/>
      <c r="BS118" s="11"/>
      <c r="BT118" s="11"/>
    </row>
    <row r="119" spans="1:72" x14ac:dyDescent="0.3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  <c r="BL119" s="11"/>
      <c r="BM119" s="11"/>
      <c r="BN119" s="11"/>
      <c r="BO119" s="11"/>
      <c r="BP119" s="11"/>
      <c r="BQ119" s="11"/>
      <c r="BR119" s="11"/>
      <c r="BS119" s="11"/>
      <c r="BT119" s="11"/>
    </row>
    <row r="120" spans="1:72" x14ac:dyDescent="0.3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  <c r="BL120" s="11"/>
      <c r="BM120" s="11"/>
      <c r="BN120" s="11"/>
      <c r="BO120" s="11"/>
      <c r="BP120" s="11"/>
      <c r="BQ120" s="11"/>
      <c r="BR120" s="11"/>
      <c r="BS120" s="11"/>
      <c r="BT120" s="11"/>
    </row>
    <row r="121" spans="1:72" x14ac:dyDescent="0.3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  <c r="BL121" s="11"/>
      <c r="BM121" s="11"/>
      <c r="BN121" s="11"/>
      <c r="BO121" s="11"/>
      <c r="BP121" s="11"/>
      <c r="BQ121" s="11"/>
      <c r="BR121" s="11"/>
      <c r="BS121" s="11"/>
      <c r="BT121" s="11"/>
    </row>
    <row r="122" spans="1:72" x14ac:dyDescent="0.3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  <c r="BL122" s="11"/>
      <c r="BM122" s="11"/>
      <c r="BN122" s="11"/>
      <c r="BO122" s="11"/>
      <c r="BP122" s="11"/>
      <c r="BQ122" s="11"/>
      <c r="BR122" s="11"/>
      <c r="BS122" s="11"/>
      <c r="BT122" s="11"/>
    </row>
    <row r="123" spans="1:72" x14ac:dyDescent="0.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  <c r="BL123" s="11"/>
      <c r="BM123" s="11"/>
      <c r="BN123" s="11"/>
      <c r="BO123" s="11"/>
      <c r="BP123" s="11"/>
      <c r="BQ123" s="11"/>
      <c r="BR123" s="11"/>
      <c r="BS123" s="11"/>
      <c r="BT123" s="11"/>
    </row>
    <row r="124" spans="1:72" x14ac:dyDescent="0.3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  <c r="BL124" s="11"/>
      <c r="BM124" s="11"/>
      <c r="BN124" s="11"/>
      <c r="BO124" s="11"/>
      <c r="BP124" s="11"/>
      <c r="BQ124" s="11"/>
      <c r="BR124" s="11"/>
      <c r="BS124" s="11"/>
      <c r="BT124" s="11"/>
    </row>
    <row r="125" spans="1:72" x14ac:dyDescent="0.3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  <c r="BL125" s="11"/>
      <c r="BM125" s="11"/>
      <c r="BN125" s="11"/>
      <c r="BO125" s="11"/>
      <c r="BP125" s="11"/>
      <c r="BQ125" s="11"/>
      <c r="BR125" s="11"/>
      <c r="BS125" s="11"/>
      <c r="BT125" s="11"/>
    </row>
    <row r="126" spans="1:72" x14ac:dyDescent="0.3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  <c r="BL126" s="11"/>
      <c r="BM126" s="11"/>
      <c r="BN126" s="11"/>
      <c r="BO126" s="11"/>
      <c r="BP126" s="11"/>
      <c r="BQ126" s="11"/>
      <c r="BR126" s="11"/>
      <c r="BS126" s="11"/>
      <c r="BT126" s="11"/>
    </row>
    <row r="127" spans="1:72" x14ac:dyDescent="0.3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  <c r="BL127" s="11"/>
      <c r="BM127" s="11"/>
      <c r="BN127" s="11"/>
      <c r="BO127" s="11"/>
      <c r="BP127" s="11"/>
      <c r="BQ127" s="11"/>
      <c r="BR127" s="11"/>
      <c r="BS127" s="11"/>
      <c r="BT127" s="11"/>
    </row>
    <row r="128" spans="1:72" x14ac:dyDescent="0.3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  <c r="BL128" s="11"/>
      <c r="BM128" s="11"/>
      <c r="BN128" s="11"/>
      <c r="BO128" s="11"/>
      <c r="BP128" s="11"/>
      <c r="BQ128" s="11"/>
      <c r="BR128" s="11"/>
      <c r="BS128" s="11"/>
      <c r="BT128" s="11"/>
    </row>
    <row r="129" spans="1:72" x14ac:dyDescent="0.3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  <c r="BL129" s="11"/>
      <c r="BM129" s="11"/>
      <c r="BN129" s="11"/>
      <c r="BO129" s="11"/>
      <c r="BP129" s="11"/>
      <c r="BQ129" s="11"/>
      <c r="BR129" s="11"/>
      <c r="BS129" s="11"/>
      <c r="BT129" s="11"/>
    </row>
    <row r="130" spans="1:72" x14ac:dyDescent="0.3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  <c r="BL130" s="11"/>
      <c r="BM130" s="11"/>
      <c r="BN130" s="11"/>
      <c r="BO130" s="11"/>
      <c r="BP130" s="11"/>
      <c r="BQ130" s="11"/>
      <c r="BR130" s="11"/>
      <c r="BS130" s="11"/>
      <c r="BT130" s="11"/>
    </row>
    <row r="131" spans="1:72" x14ac:dyDescent="0.3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  <c r="BC131" s="11"/>
      <c r="BD131" s="11"/>
      <c r="BE131" s="11"/>
      <c r="BF131" s="11"/>
      <c r="BG131" s="11"/>
      <c r="BH131" s="11"/>
      <c r="BI131" s="11"/>
      <c r="BJ131" s="11"/>
      <c r="BK131" s="11"/>
      <c r="BL131" s="11"/>
      <c r="BM131" s="11"/>
      <c r="BN131" s="11"/>
      <c r="BO131" s="11"/>
      <c r="BP131" s="11"/>
      <c r="BQ131" s="11"/>
      <c r="BR131" s="11"/>
      <c r="BS131" s="11"/>
      <c r="BT131" s="11"/>
    </row>
    <row r="132" spans="1:72" x14ac:dyDescent="0.3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  <c r="BC132" s="11"/>
      <c r="BD132" s="11"/>
      <c r="BE132" s="11"/>
      <c r="BF132" s="11"/>
      <c r="BG132" s="11"/>
      <c r="BH132" s="11"/>
      <c r="BI132" s="11"/>
      <c r="BJ132" s="11"/>
      <c r="BK132" s="11"/>
      <c r="BL132" s="11"/>
      <c r="BM132" s="11"/>
      <c r="BN132" s="11"/>
      <c r="BO132" s="11"/>
      <c r="BP132" s="11"/>
      <c r="BQ132" s="11"/>
      <c r="BR132" s="11"/>
      <c r="BS132" s="11"/>
      <c r="BT132" s="11"/>
    </row>
    <row r="133" spans="1:72" x14ac:dyDescent="0.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  <c r="BC133" s="11"/>
      <c r="BD133" s="11"/>
      <c r="BE133" s="11"/>
      <c r="BF133" s="11"/>
      <c r="BG133" s="11"/>
      <c r="BH133" s="11"/>
      <c r="BI133" s="11"/>
      <c r="BJ133" s="11"/>
      <c r="BK133" s="11"/>
      <c r="BL133" s="11"/>
      <c r="BM133" s="11"/>
      <c r="BN133" s="11"/>
      <c r="BO133" s="11"/>
      <c r="BP133" s="11"/>
      <c r="BQ133" s="11"/>
      <c r="BR133" s="11"/>
      <c r="BS133" s="11"/>
      <c r="BT133" s="11"/>
    </row>
    <row r="134" spans="1:72" x14ac:dyDescent="0.3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  <c r="BC134" s="11"/>
      <c r="BD134" s="11"/>
      <c r="BE134" s="11"/>
      <c r="BF134" s="11"/>
      <c r="BG134" s="11"/>
      <c r="BH134" s="11"/>
      <c r="BI134" s="11"/>
      <c r="BJ134" s="11"/>
      <c r="BK134" s="11"/>
      <c r="BL134" s="11"/>
      <c r="BM134" s="11"/>
      <c r="BN134" s="11"/>
      <c r="BO134" s="11"/>
      <c r="BP134" s="11"/>
      <c r="BQ134" s="11"/>
      <c r="BR134" s="11"/>
      <c r="BS134" s="11"/>
      <c r="BT134" s="11"/>
    </row>
    <row r="135" spans="1:72" x14ac:dyDescent="0.3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  <c r="BC135" s="11"/>
      <c r="BD135" s="11"/>
      <c r="BE135" s="11"/>
      <c r="BF135" s="11"/>
      <c r="BG135" s="11"/>
      <c r="BH135" s="11"/>
      <c r="BI135" s="11"/>
      <c r="BJ135" s="11"/>
      <c r="BK135" s="11"/>
      <c r="BL135" s="11"/>
      <c r="BM135" s="11"/>
      <c r="BN135" s="11"/>
      <c r="BO135" s="11"/>
      <c r="BP135" s="11"/>
      <c r="BQ135" s="11"/>
      <c r="BR135" s="11"/>
      <c r="BS135" s="11"/>
      <c r="BT135" s="11"/>
    </row>
    <row r="136" spans="1:72" x14ac:dyDescent="0.3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  <c r="BC136" s="11"/>
      <c r="BD136" s="11"/>
      <c r="BE136" s="11"/>
      <c r="BF136" s="11"/>
      <c r="BG136" s="11"/>
      <c r="BH136" s="11"/>
      <c r="BI136" s="11"/>
      <c r="BJ136" s="11"/>
      <c r="BK136" s="11"/>
      <c r="BL136" s="11"/>
      <c r="BM136" s="11"/>
      <c r="BN136" s="11"/>
      <c r="BO136" s="11"/>
      <c r="BP136" s="11"/>
      <c r="BQ136" s="11"/>
      <c r="BR136" s="11"/>
      <c r="BS136" s="11"/>
      <c r="BT136" s="11"/>
    </row>
    <row r="137" spans="1:72" x14ac:dyDescent="0.3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  <c r="BC137" s="11"/>
      <c r="BD137" s="11"/>
      <c r="BE137" s="11"/>
      <c r="BF137" s="11"/>
      <c r="BG137" s="11"/>
      <c r="BH137" s="11"/>
      <c r="BI137" s="11"/>
      <c r="BJ137" s="11"/>
      <c r="BK137" s="11"/>
      <c r="BL137" s="11"/>
      <c r="BM137" s="11"/>
      <c r="BN137" s="11"/>
      <c r="BO137" s="11"/>
      <c r="BP137" s="11"/>
      <c r="BQ137" s="11"/>
      <c r="BR137" s="11"/>
      <c r="BS137" s="11"/>
      <c r="BT137" s="11"/>
    </row>
    <row r="138" spans="1:72" x14ac:dyDescent="0.3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</row>
    <row r="139" spans="1:72" x14ac:dyDescent="0.3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</row>
    <row r="140" spans="1:72" x14ac:dyDescent="0.3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</row>
    <row r="141" spans="1:72" x14ac:dyDescent="0.3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</row>
    <row r="142" spans="1:72" x14ac:dyDescent="0.3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</row>
    <row r="143" spans="1:72" x14ac:dyDescent="0.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</row>
    <row r="144" spans="1:72" x14ac:dyDescent="0.3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</row>
    <row r="145" spans="1:72" x14ac:dyDescent="0.3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</row>
    <row r="146" spans="1:72" x14ac:dyDescent="0.3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</row>
    <row r="147" spans="1:72" x14ac:dyDescent="0.3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</row>
    <row r="148" spans="1:72" x14ac:dyDescent="0.3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  <c r="BC148" s="11"/>
      <c r="BD148" s="11"/>
      <c r="BE148" s="11"/>
      <c r="BF148" s="11"/>
      <c r="BG148" s="11"/>
      <c r="BH148" s="11"/>
      <c r="BI148" s="11"/>
      <c r="BJ148" s="11"/>
      <c r="BK148" s="11"/>
      <c r="BL148" s="11"/>
      <c r="BM148" s="11"/>
      <c r="BN148" s="11"/>
      <c r="BO148" s="11"/>
      <c r="BP148" s="11"/>
      <c r="BQ148" s="11"/>
      <c r="BR148" s="11"/>
      <c r="BS148" s="11"/>
      <c r="BT148" s="11"/>
    </row>
    <row r="149" spans="1:72" x14ac:dyDescent="0.3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  <c r="BC149" s="11"/>
      <c r="BD149" s="11"/>
      <c r="BE149" s="11"/>
      <c r="BF149" s="11"/>
      <c r="BG149" s="11"/>
      <c r="BH149" s="11"/>
      <c r="BI149" s="11"/>
      <c r="BJ149" s="11"/>
      <c r="BK149" s="11"/>
      <c r="BL149" s="11"/>
      <c r="BM149" s="11"/>
      <c r="BN149" s="11"/>
      <c r="BO149" s="11"/>
      <c r="BP149" s="11"/>
      <c r="BQ149" s="11"/>
      <c r="BR149" s="11"/>
      <c r="BS149" s="11"/>
      <c r="BT149" s="11"/>
    </row>
    <row r="150" spans="1:72" x14ac:dyDescent="0.3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  <c r="BC150" s="11"/>
      <c r="BD150" s="11"/>
      <c r="BE150" s="11"/>
      <c r="BF150" s="11"/>
      <c r="BG150" s="11"/>
      <c r="BH150" s="11"/>
      <c r="BI150" s="11"/>
      <c r="BJ150" s="11"/>
      <c r="BK150" s="11"/>
      <c r="BL150" s="11"/>
      <c r="BM150" s="11"/>
      <c r="BN150" s="11"/>
      <c r="BO150" s="11"/>
      <c r="BP150" s="11"/>
      <c r="BQ150" s="11"/>
      <c r="BR150" s="11"/>
      <c r="BS150" s="11"/>
      <c r="BT150" s="11"/>
    </row>
    <row r="151" spans="1:72" x14ac:dyDescent="0.3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  <c r="BC151" s="11"/>
      <c r="BD151" s="11"/>
      <c r="BE151" s="11"/>
      <c r="BF151" s="11"/>
      <c r="BG151" s="11"/>
      <c r="BH151" s="11"/>
      <c r="BI151" s="11"/>
      <c r="BJ151" s="11"/>
      <c r="BK151" s="11"/>
      <c r="BL151" s="11"/>
      <c r="BM151" s="11"/>
      <c r="BN151" s="11"/>
      <c r="BO151" s="11"/>
      <c r="BP151" s="11"/>
      <c r="BQ151" s="11"/>
      <c r="BR151" s="11"/>
      <c r="BS151" s="11"/>
      <c r="BT151" s="11"/>
    </row>
    <row r="152" spans="1:72" x14ac:dyDescent="0.3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  <c r="BC152" s="11"/>
      <c r="BD152" s="11"/>
      <c r="BE152" s="11"/>
      <c r="BF152" s="11"/>
      <c r="BG152" s="11"/>
      <c r="BH152" s="11"/>
      <c r="BI152" s="11"/>
      <c r="BJ152" s="11"/>
      <c r="BK152" s="11"/>
      <c r="BL152" s="11"/>
      <c r="BM152" s="11"/>
      <c r="BN152" s="11"/>
      <c r="BO152" s="11"/>
      <c r="BP152" s="11"/>
      <c r="BQ152" s="11"/>
      <c r="BR152" s="11"/>
      <c r="BS152" s="11"/>
      <c r="BT152" s="11"/>
    </row>
    <row r="153" spans="1:72" x14ac:dyDescent="0.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  <c r="BC153" s="11"/>
      <c r="BD153" s="11"/>
      <c r="BE153" s="11"/>
      <c r="BF153" s="11"/>
      <c r="BG153" s="11"/>
      <c r="BH153" s="11"/>
      <c r="BI153" s="11"/>
      <c r="BJ153" s="11"/>
      <c r="BK153" s="11"/>
      <c r="BL153" s="11"/>
      <c r="BM153" s="11"/>
      <c r="BN153" s="11"/>
      <c r="BO153" s="11"/>
      <c r="BP153" s="11"/>
      <c r="BQ153" s="11"/>
      <c r="BR153" s="11"/>
      <c r="BS153" s="11"/>
      <c r="BT153" s="11"/>
    </row>
    <row r="154" spans="1:72" x14ac:dyDescent="0.3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  <c r="BC154" s="11"/>
      <c r="BD154" s="11"/>
      <c r="BE154" s="11"/>
      <c r="BF154" s="11"/>
      <c r="BG154" s="11"/>
      <c r="BH154" s="11"/>
      <c r="BI154" s="11"/>
      <c r="BJ154" s="11"/>
      <c r="BK154" s="11"/>
      <c r="BL154" s="11"/>
      <c r="BM154" s="11"/>
      <c r="BN154" s="11"/>
      <c r="BO154" s="11"/>
      <c r="BP154" s="11"/>
      <c r="BQ154" s="11"/>
      <c r="BR154" s="11"/>
      <c r="BS154" s="11"/>
      <c r="BT154" s="11"/>
    </row>
    <row r="155" spans="1:72" x14ac:dyDescent="0.3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1"/>
      <c r="BK155" s="11"/>
      <c r="BL155" s="11"/>
      <c r="BM155" s="11"/>
      <c r="BN155" s="11"/>
      <c r="BO155" s="11"/>
      <c r="BP155" s="11"/>
      <c r="BQ155" s="11"/>
      <c r="BR155" s="11"/>
      <c r="BS155" s="11"/>
      <c r="BT155" s="11"/>
    </row>
    <row r="156" spans="1:72" x14ac:dyDescent="0.3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  <c r="BC156" s="11"/>
      <c r="BD156" s="11"/>
      <c r="BE156" s="11"/>
      <c r="BF156" s="11"/>
      <c r="BG156" s="11"/>
      <c r="BH156" s="11"/>
      <c r="BI156" s="11"/>
      <c r="BJ156" s="11"/>
      <c r="BK156" s="11"/>
      <c r="BL156" s="11"/>
      <c r="BM156" s="11"/>
      <c r="BN156" s="11"/>
      <c r="BO156" s="11"/>
      <c r="BP156" s="11"/>
      <c r="BQ156" s="11"/>
      <c r="BR156" s="11"/>
      <c r="BS156" s="11"/>
      <c r="BT156" s="11"/>
    </row>
    <row r="157" spans="1:72" x14ac:dyDescent="0.3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  <c r="BC157" s="11"/>
      <c r="BD157" s="11"/>
      <c r="BE157" s="11"/>
      <c r="BF157" s="11"/>
      <c r="BG157" s="11"/>
      <c r="BH157" s="11"/>
      <c r="BI157" s="11"/>
      <c r="BJ157" s="11"/>
      <c r="BK157" s="11"/>
      <c r="BL157" s="11"/>
      <c r="BM157" s="11"/>
      <c r="BN157" s="11"/>
      <c r="BO157" s="11"/>
      <c r="BP157" s="11"/>
      <c r="BQ157" s="11"/>
      <c r="BR157" s="11"/>
      <c r="BS157" s="11"/>
      <c r="BT157" s="11"/>
    </row>
    <row r="158" spans="1:72" x14ac:dyDescent="0.3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  <c r="BC158" s="11"/>
      <c r="BD158" s="11"/>
      <c r="BE158" s="11"/>
      <c r="BF158" s="11"/>
      <c r="BG158" s="11"/>
      <c r="BH158" s="11"/>
      <c r="BI158" s="11"/>
      <c r="BJ158" s="11"/>
      <c r="BK158" s="11"/>
      <c r="BL158" s="11"/>
      <c r="BM158" s="11"/>
      <c r="BN158" s="11"/>
      <c r="BO158" s="11"/>
      <c r="BP158" s="11"/>
      <c r="BQ158" s="11"/>
      <c r="BR158" s="11"/>
      <c r="BS158" s="11"/>
      <c r="BT158" s="11"/>
    </row>
    <row r="159" spans="1:72" x14ac:dyDescent="0.3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  <c r="BC159" s="11"/>
      <c r="BD159" s="11"/>
      <c r="BE159" s="11"/>
      <c r="BF159" s="11"/>
      <c r="BG159" s="11"/>
      <c r="BH159" s="11"/>
      <c r="BI159" s="11"/>
      <c r="BJ159" s="11"/>
      <c r="BK159" s="11"/>
      <c r="BL159" s="11"/>
      <c r="BM159" s="11"/>
      <c r="BN159" s="11"/>
      <c r="BO159" s="11"/>
      <c r="BP159" s="11"/>
      <c r="BQ159" s="11"/>
      <c r="BR159" s="11"/>
      <c r="BS159" s="11"/>
      <c r="BT159" s="11"/>
    </row>
    <row r="160" spans="1:72" x14ac:dyDescent="0.3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  <c r="BC160" s="11"/>
      <c r="BD160" s="11"/>
      <c r="BE160" s="11"/>
      <c r="BF160" s="11"/>
      <c r="BG160" s="11"/>
      <c r="BH160" s="11"/>
      <c r="BI160" s="11"/>
      <c r="BJ160" s="11"/>
      <c r="BK160" s="11"/>
      <c r="BL160" s="11"/>
      <c r="BM160" s="11"/>
      <c r="BN160" s="11"/>
      <c r="BO160" s="11"/>
      <c r="BP160" s="11"/>
      <c r="BQ160" s="11"/>
      <c r="BR160" s="11"/>
      <c r="BS160" s="11"/>
      <c r="BT160" s="11"/>
    </row>
    <row r="161" spans="1:72" x14ac:dyDescent="0.3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</row>
    <row r="162" spans="1:72" x14ac:dyDescent="0.3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  <c r="BC162" s="11"/>
      <c r="BD162" s="11"/>
      <c r="BE162" s="11"/>
      <c r="BF162" s="11"/>
      <c r="BG162" s="11"/>
      <c r="BH162" s="11"/>
      <c r="BI162" s="11"/>
      <c r="BJ162" s="11"/>
      <c r="BK162" s="11"/>
      <c r="BL162" s="11"/>
      <c r="BM162" s="11"/>
      <c r="BN162" s="11"/>
      <c r="BO162" s="11"/>
      <c r="BP162" s="11"/>
      <c r="BQ162" s="11"/>
      <c r="BR162" s="11"/>
      <c r="BS162" s="11"/>
      <c r="BT162" s="11"/>
    </row>
    <row r="163" spans="1:72" x14ac:dyDescent="0.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  <c r="BC163" s="11"/>
      <c r="BD163" s="11"/>
      <c r="BE163" s="11"/>
      <c r="BF163" s="11"/>
      <c r="BG163" s="11"/>
      <c r="BH163" s="11"/>
      <c r="BI163" s="11"/>
      <c r="BJ163" s="11"/>
      <c r="BK163" s="11"/>
      <c r="BL163" s="11"/>
      <c r="BM163" s="11"/>
      <c r="BN163" s="11"/>
      <c r="BO163" s="11"/>
      <c r="BP163" s="11"/>
      <c r="BQ163" s="11"/>
      <c r="BR163" s="11"/>
      <c r="BS163" s="11"/>
      <c r="BT163" s="11"/>
    </row>
    <row r="164" spans="1:72" x14ac:dyDescent="0.3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  <c r="BC164" s="11"/>
      <c r="BD164" s="11"/>
      <c r="BE164" s="11"/>
      <c r="BF164" s="11"/>
      <c r="BG164" s="11"/>
      <c r="BH164" s="11"/>
      <c r="BI164" s="11"/>
      <c r="BJ164" s="11"/>
      <c r="BK164" s="11"/>
      <c r="BL164" s="11"/>
      <c r="BM164" s="11"/>
      <c r="BN164" s="11"/>
      <c r="BO164" s="11"/>
      <c r="BP164" s="11"/>
      <c r="BQ164" s="11"/>
      <c r="BR164" s="11"/>
      <c r="BS164" s="11"/>
      <c r="BT164" s="11"/>
    </row>
    <row r="165" spans="1:72" x14ac:dyDescent="0.3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1"/>
      <c r="BI165" s="11"/>
      <c r="BJ165" s="11"/>
      <c r="BK165" s="11"/>
      <c r="BL165" s="11"/>
      <c r="BM165" s="11"/>
      <c r="BN165" s="11"/>
      <c r="BO165" s="11"/>
      <c r="BP165" s="11"/>
      <c r="BQ165" s="11"/>
      <c r="BR165" s="11"/>
      <c r="BS165" s="11"/>
      <c r="BT165" s="11"/>
    </row>
    <row r="166" spans="1:72" x14ac:dyDescent="0.3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  <c r="BC166" s="11"/>
      <c r="BD166" s="11"/>
      <c r="BE166" s="11"/>
      <c r="BF166" s="11"/>
      <c r="BG166" s="11"/>
      <c r="BH166" s="11"/>
      <c r="BI166" s="11"/>
      <c r="BJ166" s="11"/>
      <c r="BK166" s="11"/>
      <c r="BL166" s="11"/>
      <c r="BM166" s="11"/>
      <c r="BN166" s="11"/>
      <c r="BO166" s="11"/>
      <c r="BP166" s="11"/>
      <c r="BQ166" s="11"/>
      <c r="BR166" s="11"/>
      <c r="BS166" s="11"/>
      <c r="BT166" s="11"/>
    </row>
    <row r="167" spans="1:72" x14ac:dyDescent="0.3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  <c r="BC167" s="11"/>
      <c r="BD167" s="11"/>
      <c r="BE167" s="11"/>
      <c r="BF167" s="11"/>
      <c r="BG167" s="11"/>
      <c r="BH167" s="11"/>
      <c r="BI167" s="11"/>
      <c r="BJ167" s="11"/>
      <c r="BK167" s="11"/>
      <c r="BL167" s="11"/>
      <c r="BM167" s="11"/>
      <c r="BN167" s="11"/>
      <c r="BO167" s="11"/>
      <c r="BP167" s="11"/>
      <c r="BQ167" s="11"/>
      <c r="BR167" s="11"/>
      <c r="BS167" s="11"/>
      <c r="BT167" s="11"/>
    </row>
    <row r="168" spans="1:72" x14ac:dyDescent="0.3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  <c r="BC168" s="11"/>
      <c r="BD168" s="11"/>
      <c r="BE168" s="11"/>
      <c r="BF168" s="11"/>
      <c r="BG168" s="11"/>
      <c r="BH168" s="11"/>
      <c r="BI168" s="11"/>
      <c r="BJ168" s="11"/>
      <c r="BK168" s="11"/>
      <c r="BL168" s="11"/>
      <c r="BM168" s="11"/>
      <c r="BN168" s="11"/>
      <c r="BO168" s="11"/>
      <c r="BP168" s="11"/>
      <c r="BQ168" s="11"/>
      <c r="BR168" s="11"/>
      <c r="BS168" s="11"/>
      <c r="BT168" s="11"/>
    </row>
    <row r="169" spans="1:72" x14ac:dyDescent="0.3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  <c r="BC169" s="11"/>
      <c r="BD169" s="11"/>
      <c r="BE169" s="11"/>
      <c r="BF169" s="11"/>
      <c r="BG169" s="11"/>
      <c r="BH169" s="11"/>
      <c r="BI169" s="11"/>
      <c r="BJ169" s="11"/>
      <c r="BK169" s="11"/>
      <c r="BL169" s="11"/>
      <c r="BM169" s="11"/>
      <c r="BN169" s="11"/>
      <c r="BO169" s="11"/>
      <c r="BP169" s="11"/>
      <c r="BQ169" s="11"/>
      <c r="BR169" s="11"/>
      <c r="BS169" s="11"/>
      <c r="BT169" s="11"/>
    </row>
    <row r="170" spans="1:72" x14ac:dyDescent="0.3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  <c r="BC170" s="11"/>
      <c r="BD170" s="11"/>
      <c r="BE170" s="11"/>
      <c r="BF170" s="11"/>
      <c r="BG170" s="11"/>
      <c r="BH170" s="11"/>
      <c r="BI170" s="11"/>
      <c r="BJ170" s="11"/>
      <c r="BK170" s="11"/>
      <c r="BL170" s="11"/>
      <c r="BM170" s="11"/>
      <c r="BN170" s="11"/>
      <c r="BO170" s="11"/>
      <c r="BP170" s="11"/>
      <c r="BQ170" s="11"/>
      <c r="BR170" s="11"/>
      <c r="BS170" s="11"/>
      <c r="BT170" s="11"/>
    </row>
    <row r="171" spans="1:72" x14ac:dyDescent="0.3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  <c r="BC171" s="11"/>
      <c r="BD171" s="11"/>
      <c r="BE171" s="11"/>
      <c r="BF171" s="11"/>
      <c r="BG171" s="11"/>
      <c r="BH171" s="11"/>
      <c r="BI171" s="11"/>
      <c r="BJ171" s="11"/>
      <c r="BK171" s="11"/>
      <c r="BL171" s="11"/>
      <c r="BM171" s="11"/>
      <c r="BN171" s="11"/>
      <c r="BO171" s="11"/>
      <c r="BP171" s="11"/>
      <c r="BQ171" s="11"/>
      <c r="BR171" s="11"/>
      <c r="BS171" s="11"/>
      <c r="BT171" s="11"/>
    </row>
    <row r="172" spans="1:72" x14ac:dyDescent="0.3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  <c r="BC172" s="11"/>
      <c r="BD172" s="11"/>
      <c r="BE172" s="11"/>
      <c r="BF172" s="11"/>
      <c r="BG172" s="11"/>
      <c r="BH172" s="11"/>
      <c r="BI172" s="11"/>
      <c r="BJ172" s="11"/>
      <c r="BK172" s="11"/>
      <c r="BL172" s="11"/>
      <c r="BM172" s="11"/>
      <c r="BN172" s="11"/>
      <c r="BO172" s="11"/>
      <c r="BP172" s="11"/>
      <c r="BQ172" s="11"/>
      <c r="BR172" s="11"/>
      <c r="BS172" s="11"/>
      <c r="BT172" s="11"/>
    </row>
    <row r="173" spans="1:72" x14ac:dyDescent="0.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  <c r="BC173" s="11"/>
      <c r="BD173" s="11"/>
      <c r="BE173" s="11"/>
      <c r="BF173" s="11"/>
      <c r="BG173" s="11"/>
      <c r="BH173" s="11"/>
      <c r="BI173" s="11"/>
      <c r="BJ173" s="11"/>
      <c r="BK173" s="11"/>
      <c r="BL173" s="11"/>
      <c r="BM173" s="11"/>
      <c r="BN173" s="11"/>
      <c r="BO173" s="11"/>
      <c r="BP173" s="11"/>
      <c r="BQ173" s="11"/>
      <c r="BR173" s="11"/>
      <c r="BS173" s="11"/>
      <c r="BT173" s="11"/>
    </row>
    <row r="174" spans="1:72" x14ac:dyDescent="0.3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  <c r="BC174" s="11"/>
      <c r="BD174" s="11"/>
      <c r="BE174" s="11"/>
      <c r="BF174" s="11"/>
      <c r="BG174" s="11"/>
      <c r="BH174" s="11"/>
      <c r="BI174" s="11"/>
      <c r="BJ174" s="11"/>
      <c r="BK174" s="11"/>
      <c r="BL174" s="11"/>
      <c r="BM174" s="11"/>
      <c r="BN174" s="11"/>
      <c r="BO174" s="11"/>
      <c r="BP174" s="11"/>
      <c r="BQ174" s="11"/>
      <c r="BR174" s="11"/>
      <c r="BS174" s="11"/>
      <c r="BT174" s="11"/>
    </row>
    <row r="175" spans="1:72" x14ac:dyDescent="0.3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  <c r="BC175" s="11"/>
      <c r="BD175" s="11"/>
      <c r="BE175" s="11"/>
      <c r="BF175" s="11"/>
      <c r="BG175" s="11"/>
      <c r="BH175" s="11"/>
      <c r="BI175" s="11"/>
      <c r="BJ175" s="11"/>
      <c r="BK175" s="11"/>
      <c r="BL175" s="11"/>
      <c r="BM175" s="11"/>
      <c r="BN175" s="11"/>
      <c r="BO175" s="11"/>
      <c r="BP175" s="11"/>
      <c r="BQ175" s="11"/>
      <c r="BR175" s="11"/>
      <c r="BS175" s="11"/>
      <c r="BT175" s="11"/>
    </row>
    <row r="176" spans="1:72" x14ac:dyDescent="0.3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  <c r="BC176" s="11"/>
      <c r="BD176" s="11"/>
      <c r="BE176" s="11"/>
      <c r="BF176" s="11"/>
      <c r="BG176" s="11"/>
      <c r="BH176" s="11"/>
      <c r="BI176" s="11"/>
      <c r="BJ176" s="11"/>
      <c r="BK176" s="11"/>
      <c r="BL176" s="11"/>
      <c r="BM176" s="11"/>
      <c r="BN176" s="11"/>
      <c r="BO176" s="11"/>
      <c r="BP176" s="11"/>
      <c r="BQ176" s="11"/>
      <c r="BR176" s="11"/>
      <c r="BS176" s="11"/>
      <c r="BT176" s="11"/>
    </row>
    <row r="177" spans="1:72" x14ac:dyDescent="0.3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  <c r="BC177" s="11"/>
      <c r="BD177" s="11"/>
      <c r="BE177" s="11"/>
      <c r="BF177" s="11"/>
      <c r="BG177" s="11"/>
      <c r="BH177" s="11"/>
      <c r="BI177" s="11"/>
      <c r="BJ177" s="11"/>
      <c r="BK177" s="11"/>
      <c r="BL177" s="11"/>
      <c r="BM177" s="11"/>
      <c r="BN177" s="11"/>
      <c r="BO177" s="11"/>
      <c r="BP177" s="11"/>
      <c r="BQ177" s="11"/>
      <c r="BR177" s="11"/>
      <c r="BS177" s="11"/>
      <c r="BT177" s="11"/>
    </row>
    <row r="178" spans="1:72" x14ac:dyDescent="0.3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  <c r="BC178" s="11"/>
      <c r="BD178" s="11"/>
      <c r="BE178" s="11"/>
      <c r="BF178" s="11"/>
      <c r="BG178" s="11"/>
      <c r="BH178" s="11"/>
      <c r="BI178" s="11"/>
      <c r="BJ178" s="11"/>
      <c r="BK178" s="11"/>
      <c r="BL178" s="11"/>
      <c r="BM178" s="11"/>
      <c r="BN178" s="11"/>
      <c r="BO178" s="11"/>
      <c r="BP178" s="11"/>
      <c r="BQ178" s="11"/>
      <c r="BR178" s="11"/>
      <c r="BS178" s="11"/>
      <c r="BT178" s="11"/>
    </row>
    <row r="179" spans="1:72" x14ac:dyDescent="0.3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  <c r="BC179" s="11"/>
      <c r="BD179" s="11"/>
      <c r="BE179" s="11"/>
      <c r="BF179" s="11"/>
      <c r="BG179" s="11"/>
      <c r="BH179" s="11"/>
      <c r="BI179" s="11"/>
      <c r="BJ179" s="11"/>
      <c r="BK179" s="11"/>
      <c r="BL179" s="11"/>
      <c r="BM179" s="11"/>
      <c r="BN179" s="11"/>
      <c r="BO179" s="11"/>
      <c r="BP179" s="11"/>
      <c r="BQ179" s="11"/>
      <c r="BR179" s="11"/>
      <c r="BS179" s="11"/>
      <c r="BT179" s="11"/>
    </row>
    <row r="180" spans="1:72" x14ac:dyDescent="0.3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  <c r="BC180" s="11"/>
      <c r="BD180" s="11"/>
      <c r="BE180" s="11"/>
      <c r="BF180" s="11"/>
      <c r="BG180" s="11"/>
      <c r="BH180" s="11"/>
      <c r="BI180" s="11"/>
      <c r="BJ180" s="11"/>
      <c r="BK180" s="11"/>
      <c r="BL180" s="11"/>
      <c r="BM180" s="11"/>
      <c r="BN180" s="11"/>
      <c r="BO180" s="11"/>
      <c r="BP180" s="11"/>
      <c r="BQ180" s="11"/>
      <c r="BR180" s="11"/>
      <c r="BS180" s="11"/>
      <c r="BT180" s="11"/>
    </row>
    <row r="181" spans="1:72" x14ac:dyDescent="0.3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  <c r="BC181" s="11"/>
      <c r="BD181" s="11"/>
      <c r="BE181" s="11"/>
      <c r="BF181" s="11"/>
      <c r="BG181" s="11"/>
      <c r="BH181" s="11"/>
      <c r="BI181" s="11"/>
      <c r="BJ181" s="11"/>
      <c r="BK181" s="11"/>
      <c r="BL181" s="11"/>
      <c r="BM181" s="11"/>
      <c r="BN181" s="11"/>
      <c r="BO181" s="11"/>
      <c r="BP181" s="11"/>
      <c r="BQ181" s="11"/>
      <c r="BR181" s="11"/>
      <c r="BS181" s="11"/>
      <c r="BT181" s="11"/>
    </row>
    <row r="182" spans="1:72" x14ac:dyDescent="0.3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  <c r="BC182" s="11"/>
      <c r="BD182" s="11"/>
      <c r="BE182" s="11"/>
      <c r="BF182" s="11"/>
      <c r="BG182" s="11"/>
      <c r="BH182" s="11"/>
      <c r="BI182" s="11"/>
      <c r="BJ182" s="11"/>
      <c r="BK182" s="11"/>
      <c r="BL182" s="11"/>
      <c r="BM182" s="11"/>
      <c r="BN182" s="11"/>
      <c r="BO182" s="11"/>
      <c r="BP182" s="11"/>
      <c r="BQ182" s="11"/>
      <c r="BR182" s="11"/>
      <c r="BS182" s="11"/>
      <c r="BT182" s="11"/>
    </row>
    <row r="183" spans="1:72" x14ac:dyDescent="0.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  <c r="BC183" s="11"/>
      <c r="BD183" s="11"/>
      <c r="BE183" s="11"/>
      <c r="BF183" s="11"/>
      <c r="BG183" s="11"/>
      <c r="BH183" s="11"/>
      <c r="BI183" s="11"/>
      <c r="BJ183" s="11"/>
      <c r="BK183" s="11"/>
      <c r="BL183" s="11"/>
      <c r="BM183" s="11"/>
      <c r="BN183" s="11"/>
      <c r="BO183" s="11"/>
      <c r="BP183" s="11"/>
      <c r="BQ183" s="11"/>
      <c r="BR183" s="11"/>
      <c r="BS183" s="11"/>
      <c r="BT183" s="11"/>
    </row>
    <row r="184" spans="1:72" x14ac:dyDescent="0.3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  <c r="BC184" s="11"/>
      <c r="BD184" s="11"/>
      <c r="BE184" s="11"/>
      <c r="BF184" s="11"/>
      <c r="BG184" s="11"/>
      <c r="BH184" s="11"/>
      <c r="BI184" s="11"/>
      <c r="BJ184" s="11"/>
      <c r="BK184" s="11"/>
      <c r="BL184" s="11"/>
      <c r="BM184" s="11"/>
      <c r="BN184" s="11"/>
      <c r="BO184" s="11"/>
      <c r="BP184" s="11"/>
      <c r="BQ184" s="11"/>
      <c r="BR184" s="11"/>
      <c r="BS184" s="11"/>
      <c r="BT184" s="11"/>
    </row>
    <row r="185" spans="1:72" x14ac:dyDescent="0.3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  <c r="BC185" s="11"/>
      <c r="BD185" s="11"/>
      <c r="BE185" s="11"/>
      <c r="BF185" s="11"/>
      <c r="BG185" s="11"/>
      <c r="BH185" s="11"/>
      <c r="BI185" s="11"/>
      <c r="BJ185" s="11"/>
      <c r="BK185" s="11"/>
      <c r="BL185" s="11"/>
      <c r="BM185" s="11"/>
      <c r="BN185" s="11"/>
      <c r="BO185" s="11"/>
      <c r="BP185" s="11"/>
      <c r="BQ185" s="11"/>
      <c r="BR185" s="11"/>
      <c r="BS185" s="11"/>
      <c r="BT185" s="11"/>
    </row>
    <row r="186" spans="1:72" x14ac:dyDescent="0.3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  <c r="BC186" s="11"/>
      <c r="BD186" s="11"/>
      <c r="BE186" s="11"/>
      <c r="BF186" s="11"/>
      <c r="BG186" s="11"/>
      <c r="BH186" s="11"/>
      <c r="BI186" s="11"/>
      <c r="BJ186" s="11"/>
      <c r="BK186" s="11"/>
      <c r="BL186" s="11"/>
      <c r="BM186" s="11"/>
      <c r="BN186" s="11"/>
      <c r="BO186" s="11"/>
      <c r="BP186" s="11"/>
      <c r="BQ186" s="11"/>
      <c r="BR186" s="11"/>
      <c r="BS186" s="11"/>
      <c r="BT186" s="11"/>
    </row>
    <row r="187" spans="1:72" x14ac:dyDescent="0.3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  <c r="BC187" s="11"/>
      <c r="BD187" s="11"/>
      <c r="BE187" s="11"/>
      <c r="BF187" s="11"/>
      <c r="BG187" s="11"/>
      <c r="BH187" s="11"/>
      <c r="BI187" s="11"/>
      <c r="BJ187" s="11"/>
      <c r="BK187" s="11"/>
      <c r="BL187" s="11"/>
      <c r="BM187" s="11"/>
      <c r="BN187" s="11"/>
      <c r="BO187" s="11"/>
      <c r="BP187" s="11"/>
      <c r="BQ187" s="11"/>
      <c r="BR187" s="11"/>
      <c r="BS187" s="11"/>
      <c r="BT187" s="11"/>
    </row>
    <row r="188" spans="1:72" x14ac:dyDescent="0.3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</row>
    <row r="189" spans="1:72" x14ac:dyDescent="0.3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</row>
    <row r="190" spans="1:72" x14ac:dyDescent="0.3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</row>
    <row r="191" spans="1:72" x14ac:dyDescent="0.3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</row>
    <row r="192" spans="1:72" x14ac:dyDescent="0.3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</row>
    <row r="193" spans="1:72" x14ac:dyDescent="0.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</row>
    <row r="194" spans="1:72" x14ac:dyDescent="0.3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</row>
    <row r="195" spans="1:72" x14ac:dyDescent="0.3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  <c r="BC195" s="11"/>
      <c r="BD195" s="11"/>
      <c r="BE195" s="11"/>
      <c r="BF195" s="11"/>
      <c r="BG195" s="11"/>
      <c r="BH195" s="11"/>
      <c r="BI195" s="11"/>
      <c r="BJ195" s="11"/>
      <c r="BK195" s="11"/>
      <c r="BL195" s="11"/>
      <c r="BM195" s="11"/>
      <c r="BN195" s="11"/>
      <c r="BO195" s="11"/>
      <c r="BP195" s="11"/>
      <c r="BQ195" s="11"/>
      <c r="BR195" s="11"/>
      <c r="BS195" s="11"/>
      <c r="BT195" s="11"/>
    </row>
    <row r="196" spans="1:72" x14ac:dyDescent="0.3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  <c r="BC196" s="11"/>
      <c r="BD196" s="11"/>
      <c r="BE196" s="11"/>
      <c r="BF196" s="11"/>
      <c r="BG196" s="11"/>
      <c r="BH196" s="11"/>
      <c r="BI196" s="11"/>
      <c r="BJ196" s="11"/>
      <c r="BK196" s="11"/>
      <c r="BL196" s="11"/>
      <c r="BM196" s="11"/>
      <c r="BN196" s="11"/>
      <c r="BO196" s="11"/>
      <c r="BP196" s="11"/>
      <c r="BQ196" s="11"/>
      <c r="BR196" s="11"/>
      <c r="BS196" s="11"/>
      <c r="BT196" s="11"/>
    </row>
    <row r="197" spans="1:72" x14ac:dyDescent="0.3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  <c r="BC197" s="11"/>
      <c r="BD197" s="11"/>
      <c r="BE197" s="11"/>
      <c r="BF197" s="11"/>
      <c r="BG197" s="11"/>
      <c r="BH197" s="11"/>
      <c r="BI197" s="11"/>
      <c r="BJ197" s="11"/>
      <c r="BK197" s="11"/>
      <c r="BL197" s="11"/>
      <c r="BM197" s="11"/>
      <c r="BN197" s="11"/>
      <c r="BO197" s="11"/>
      <c r="BP197" s="11"/>
      <c r="BQ197" s="11"/>
      <c r="BR197" s="11"/>
      <c r="BS197" s="11"/>
      <c r="BT197" s="11"/>
    </row>
    <row r="198" spans="1:72" x14ac:dyDescent="0.3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  <c r="BC198" s="11"/>
      <c r="BD198" s="11"/>
      <c r="BE198" s="11"/>
      <c r="BF198" s="11"/>
      <c r="BG198" s="11"/>
      <c r="BH198" s="11"/>
      <c r="BI198" s="11"/>
      <c r="BJ198" s="11"/>
      <c r="BK198" s="11"/>
      <c r="BL198" s="11"/>
      <c r="BM198" s="11"/>
      <c r="BN198" s="11"/>
      <c r="BO198" s="11"/>
      <c r="BP198" s="11"/>
      <c r="BQ198" s="11"/>
      <c r="BR198" s="11"/>
      <c r="BS198" s="11"/>
      <c r="BT198" s="11"/>
    </row>
    <row r="199" spans="1:72" x14ac:dyDescent="0.3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  <c r="BC199" s="11"/>
      <c r="BD199" s="11"/>
      <c r="BE199" s="11"/>
      <c r="BF199" s="11"/>
      <c r="BG199" s="11"/>
      <c r="BH199" s="11"/>
      <c r="BI199" s="11"/>
      <c r="BJ199" s="11"/>
      <c r="BK199" s="11"/>
      <c r="BL199" s="11"/>
      <c r="BM199" s="11"/>
      <c r="BN199" s="11"/>
      <c r="BO199" s="11"/>
      <c r="BP199" s="11"/>
      <c r="BQ199" s="11"/>
      <c r="BR199" s="11"/>
      <c r="BS199" s="11"/>
      <c r="BT199" s="11"/>
    </row>
    <row r="200" spans="1:72" x14ac:dyDescent="0.3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  <c r="BC200" s="11"/>
      <c r="BD200" s="11"/>
      <c r="BE200" s="11"/>
      <c r="BF200" s="11"/>
      <c r="BG200" s="11"/>
      <c r="BH200" s="11"/>
      <c r="BI200" s="11"/>
      <c r="BJ200" s="11"/>
      <c r="BK200" s="11"/>
      <c r="BL200" s="11"/>
      <c r="BM200" s="11"/>
      <c r="BN200" s="11"/>
      <c r="BO200" s="11"/>
      <c r="BP200" s="11"/>
      <c r="BQ200" s="11"/>
      <c r="BR200" s="11"/>
      <c r="BS200" s="11"/>
      <c r="BT200" s="11"/>
    </row>
    <row r="201" spans="1:72" x14ac:dyDescent="0.3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</row>
    <row r="202" spans="1:72" x14ac:dyDescent="0.3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</row>
    <row r="203" spans="1:72" x14ac:dyDescent="0.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</row>
    <row r="204" spans="1:72" x14ac:dyDescent="0.3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</row>
    <row r="205" spans="1:72" x14ac:dyDescent="0.3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</row>
    <row r="206" spans="1:72" x14ac:dyDescent="0.3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  <c r="BC206" s="11"/>
      <c r="BD206" s="11"/>
      <c r="BE206" s="11"/>
      <c r="BF206" s="11"/>
      <c r="BG206" s="11"/>
      <c r="BH206" s="11"/>
      <c r="BI206" s="11"/>
      <c r="BJ206" s="11"/>
      <c r="BK206" s="11"/>
      <c r="BL206" s="11"/>
      <c r="BM206" s="11"/>
      <c r="BN206" s="11"/>
      <c r="BO206" s="11"/>
      <c r="BP206" s="11"/>
      <c r="BQ206" s="11"/>
      <c r="BR206" s="11"/>
      <c r="BS206" s="11"/>
      <c r="BT206" s="11"/>
    </row>
    <row r="207" spans="1:72" x14ac:dyDescent="0.3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</row>
    <row r="208" spans="1:72" x14ac:dyDescent="0.3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  <c r="BC208" s="11"/>
      <c r="BD208" s="11"/>
      <c r="BE208" s="11"/>
      <c r="BF208" s="11"/>
      <c r="BG208" s="11"/>
      <c r="BH208" s="11"/>
      <c r="BI208" s="11"/>
      <c r="BJ208" s="11"/>
      <c r="BK208" s="11"/>
      <c r="BL208" s="11"/>
      <c r="BM208" s="11"/>
      <c r="BN208" s="11"/>
      <c r="BO208" s="11"/>
      <c r="BP208" s="11"/>
      <c r="BQ208" s="11"/>
      <c r="BR208" s="11"/>
      <c r="BS208" s="11"/>
      <c r="BT208" s="11"/>
    </row>
    <row r="209" spans="1:72" x14ac:dyDescent="0.3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  <c r="BC209" s="11"/>
      <c r="BD209" s="11"/>
      <c r="BE209" s="11"/>
      <c r="BF209" s="11"/>
      <c r="BG209" s="11"/>
      <c r="BH209" s="11"/>
      <c r="BI209" s="11"/>
      <c r="BJ209" s="11"/>
      <c r="BK209" s="11"/>
      <c r="BL209" s="11"/>
      <c r="BM209" s="11"/>
      <c r="BN209" s="11"/>
      <c r="BO209" s="11"/>
      <c r="BP209" s="11"/>
      <c r="BQ209" s="11"/>
      <c r="BR209" s="11"/>
      <c r="BS209" s="11"/>
      <c r="BT209" s="11"/>
    </row>
    <row r="210" spans="1:72" x14ac:dyDescent="0.3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  <c r="BC210" s="11"/>
      <c r="BD210" s="11"/>
      <c r="BE210" s="11"/>
      <c r="BF210" s="11"/>
      <c r="BG210" s="11"/>
      <c r="BH210" s="11"/>
      <c r="BI210" s="11"/>
      <c r="BJ210" s="11"/>
      <c r="BK210" s="11"/>
      <c r="BL210" s="11"/>
      <c r="BM210" s="11"/>
      <c r="BN210" s="11"/>
      <c r="BO210" s="11"/>
      <c r="BP210" s="11"/>
      <c r="BQ210" s="11"/>
      <c r="BR210" s="11"/>
      <c r="BS210" s="11"/>
      <c r="BT210" s="11"/>
    </row>
    <row r="211" spans="1:72" x14ac:dyDescent="0.3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  <c r="BC211" s="11"/>
      <c r="BD211" s="11"/>
      <c r="BE211" s="11"/>
      <c r="BF211" s="11"/>
      <c r="BG211" s="11"/>
      <c r="BH211" s="11"/>
      <c r="BI211" s="11"/>
      <c r="BJ211" s="11"/>
      <c r="BK211" s="11"/>
      <c r="BL211" s="11"/>
      <c r="BM211" s="11"/>
      <c r="BN211" s="11"/>
      <c r="BO211" s="11"/>
      <c r="BP211" s="11"/>
      <c r="BQ211" s="11"/>
      <c r="BR211" s="11"/>
      <c r="BS211" s="11"/>
      <c r="BT211" s="11"/>
    </row>
    <row r="212" spans="1:72" x14ac:dyDescent="0.3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  <c r="BC212" s="11"/>
      <c r="BD212" s="11"/>
      <c r="BE212" s="11"/>
      <c r="BF212" s="11"/>
      <c r="BG212" s="11"/>
      <c r="BH212" s="11"/>
      <c r="BI212" s="11"/>
      <c r="BJ212" s="11"/>
      <c r="BK212" s="11"/>
      <c r="BL212" s="11"/>
      <c r="BM212" s="11"/>
      <c r="BN212" s="11"/>
      <c r="BO212" s="11"/>
      <c r="BP212" s="11"/>
      <c r="BQ212" s="11"/>
      <c r="BR212" s="11"/>
      <c r="BS212" s="11"/>
      <c r="BT212" s="11"/>
    </row>
    <row r="213" spans="1:72" x14ac:dyDescent="0.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  <c r="BC213" s="11"/>
      <c r="BD213" s="11"/>
      <c r="BE213" s="11"/>
      <c r="BF213" s="11"/>
      <c r="BG213" s="11"/>
      <c r="BH213" s="11"/>
      <c r="BI213" s="11"/>
      <c r="BJ213" s="11"/>
      <c r="BK213" s="11"/>
      <c r="BL213" s="11"/>
      <c r="BM213" s="11"/>
      <c r="BN213" s="11"/>
      <c r="BO213" s="11"/>
      <c r="BP213" s="11"/>
      <c r="BQ213" s="11"/>
      <c r="BR213" s="11"/>
      <c r="BS213" s="11"/>
      <c r="BT213" s="11"/>
    </row>
    <row r="214" spans="1:72" x14ac:dyDescent="0.3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  <c r="BC214" s="11"/>
      <c r="BD214" s="11"/>
      <c r="BE214" s="11"/>
      <c r="BF214" s="11"/>
      <c r="BG214" s="11"/>
      <c r="BH214" s="11"/>
      <c r="BI214" s="11"/>
      <c r="BJ214" s="11"/>
      <c r="BK214" s="11"/>
      <c r="BL214" s="11"/>
      <c r="BM214" s="11"/>
      <c r="BN214" s="11"/>
      <c r="BO214" s="11"/>
      <c r="BP214" s="11"/>
      <c r="BQ214" s="11"/>
      <c r="BR214" s="11"/>
      <c r="BS214" s="11"/>
      <c r="BT214" s="11"/>
    </row>
    <row r="215" spans="1:72" x14ac:dyDescent="0.3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  <c r="BC215" s="11"/>
      <c r="BD215" s="11"/>
      <c r="BE215" s="11"/>
      <c r="BF215" s="11"/>
      <c r="BG215" s="11"/>
      <c r="BH215" s="11"/>
      <c r="BI215" s="11"/>
      <c r="BJ215" s="11"/>
      <c r="BK215" s="11"/>
      <c r="BL215" s="11"/>
      <c r="BM215" s="11"/>
      <c r="BN215" s="11"/>
      <c r="BO215" s="11"/>
      <c r="BP215" s="11"/>
      <c r="BQ215" s="11"/>
      <c r="BR215" s="11"/>
      <c r="BS215" s="11"/>
      <c r="BT215" s="11"/>
    </row>
    <row r="216" spans="1:72" x14ac:dyDescent="0.3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  <c r="BC216" s="11"/>
      <c r="BD216" s="11"/>
      <c r="BE216" s="11"/>
      <c r="BF216" s="11"/>
      <c r="BG216" s="11"/>
      <c r="BH216" s="11"/>
      <c r="BI216" s="11"/>
      <c r="BJ216" s="11"/>
      <c r="BK216" s="11"/>
      <c r="BL216" s="11"/>
      <c r="BM216" s="11"/>
      <c r="BN216" s="11"/>
      <c r="BO216" s="11"/>
      <c r="BP216" s="11"/>
      <c r="BQ216" s="11"/>
      <c r="BR216" s="11"/>
      <c r="BS216" s="11"/>
      <c r="BT216" s="11"/>
    </row>
    <row r="217" spans="1:72" x14ac:dyDescent="0.3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  <c r="BC217" s="11"/>
      <c r="BD217" s="11"/>
      <c r="BE217" s="11"/>
      <c r="BF217" s="11"/>
      <c r="BG217" s="11"/>
      <c r="BH217" s="11"/>
      <c r="BI217" s="11"/>
      <c r="BJ217" s="11"/>
      <c r="BK217" s="11"/>
      <c r="BL217" s="11"/>
      <c r="BM217" s="11"/>
      <c r="BN217" s="11"/>
      <c r="BO217" s="11"/>
      <c r="BP217" s="11"/>
      <c r="BQ217" s="11"/>
      <c r="BR217" s="11"/>
      <c r="BS217" s="11"/>
      <c r="BT217" s="11"/>
    </row>
    <row r="218" spans="1:72" x14ac:dyDescent="0.3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  <c r="BC218" s="11"/>
      <c r="BD218" s="11"/>
      <c r="BE218" s="11"/>
      <c r="BF218" s="11"/>
      <c r="BG218" s="11"/>
      <c r="BH218" s="11"/>
      <c r="BI218" s="11"/>
      <c r="BJ218" s="11"/>
      <c r="BK218" s="11"/>
      <c r="BL218" s="11"/>
      <c r="BM218" s="11"/>
      <c r="BN218" s="11"/>
      <c r="BO218" s="11"/>
      <c r="BP218" s="11"/>
      <c r="BQ218" s="11"/>
      <c r="BR218" s="11"/>
      <c r="BS218" s="11"/>
      <c r="BT218" s="11"/>
    </row>
    <row r="219" spans="1:72" x14ac:dyDescent="0.3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  <c r="BC219" s="11"/>
      <c r="BD219" s="11"/>
      <c r="BE219" s="11"/>
      <c r="BF219" s="11"/>
      <c r="BG219" s="11"/>
      <c r="BH219" s="11"/>
      <c r="BI219" s="11"/>
      <c r="BJ219" s="11"/>
      <c r="BK219" s="11"/>
      <c r="BL219" s="11"/>
      <c r="BM219" s="11"/>
      <c r="BN219" s="11"/>
      <c r="BO219" s="11"/>
      <c r="BP219" s="11"/>
      <c r="BQ219" s="11"/>
      <c r="BR219" s="11"/>
      <c r="BS219" s="11"/>
      <c r="BT219" s="11"/>
    </row>
    <row r="220" spans="1:72" x14ac:dyDescent="0.3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  <c r="BC220" s="11"/>
      <c r="BD220" s="11"/>
      <c r="BE220" s="11"/>
      <c r="BF220" s="11"/>
      <c r="BG220" s="11"/>
      <c r="BH220" s="11"/>
      <c r="BI220" s="11"/>
      <c r="BJ220" s="11"/>
      <c r="BK220" s="11"/>
      <c r="BL220" s="11"/>
      <c r="BM220" s="11"/>
      <c r="BN220" s="11"/>
      <c r="BO220" s="11"/>
      <c r="BP220" s="11"/>
      <c r="BQ220" s="11"/>
      <c r="BR220" s="11"/>
      <c r="BS220" s="11"/>
      <c r="BT220" s="11"/>
    </row>
    <row r="221" spans="1:72" x14ac:dyDescent="0.3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  <c r="BC221" s="11"/>
      <c r="BD221" s="11"/>
      <c r="BE221" s="11"/>
      <c r="BF221" s="11"/>
      <c r="BG221" s="11"/>
      <c r="BH221" s="11"/>
      <c r="BI221" s="11"/>
      <c r="BJ221" s="11"/>
      <c r="BK221" s="11"/>
      <c r="BL221" s="11"/>
      <c r="BM221" s="11"/>
      <c r="BN221" s="11"/>
      <c r="BO221" s="11"/>
      <c r="BP221" s="11"/>
      <c r="BQ221" s="11"/>
      <c r="BR221" s="11"/>
      <c r="BS221" s="11"/>
      <c r="BT221" s="11"/>
    </row>
    <row r="222" spans="1:72" x14ac:dyDescent="0.3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  <c r="BC222" s="11"/>
      <c r="BD222" s="11"/>
      <c r="BE222" s="11"/>
      <c r="BF222" s="11"/>
      <c r="BG222" s="11"/>
      <c r="BH222" s="11"/>
      <c r="BI222" s="11"/>
      <c r="BJ222" s="11"/>
      <c r="BK222" s="11"/>
      <c r="BL222" s="11"/>
      <c r="BM222" s="11"/>
      <c r="BN222" s="11"/>
      <c r="BO222" s="11"/>
      <c r="BP222" s="11"/>
      <c r="BQ222" s="11"/>
      <c r="BR222" s="11"/>
      <c r="BS222" s="11"/>
      <c r="BT222" s="11"/>
    </row>
    <row r="223" spans="1:72" x14ac:dyDescent="0.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  <c r="BC223" s="11"/>
      <c r="BD223" s="11"/>
      <c r="BE223" s="11"/>
      <c r="BF223" s="11"/>
      <c r="BG223" s="11"/>
      <c r="BH223" s="11"/>
      <c r="BI223" s="11"/>
      <c r="BJ223" s="11"/>
      <c r="BK223" s="11"/>
      <c r="BL223" s="11"/>
      <c r="BM223" s="11"/>
      <c r="BN223" s="11"/>
      <c r="BO223" s="11"/>
      <c r="BP223" s="11"/>
      <c r="BQ223" s="11"/>
      <c r="BR223" s="11"/>
      <c r="BS223" s="11"/>
      <c r="BT223" s="11"/>
    </row>
    <row r="224" spans="1:72" x14ac:dyDescent="0.3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  <c r="BC224" s="11"/>
      <c r="BD224" s="11"/>
      <c r="BE224" s="11"/>
      <c r="BF224" s="11"/>
      <c r="BG224" s="11"/>
      <c r="BH224" s="11"/>
      <c r="BI224" s="11"/>
      <c r="BJ224" s="11"/>
      <c r="BK224" s="11"/>
      <c r="BL224" s="11"/>
      <c r="BM224" s="11"/>
      <c r="BN224" s="11"/>
      <c r="BO224" s="11"/>
      <c r="BP224" s="11"/>
      <c r="BQ224" s="11"/>
      <c r="BR224" s="11"/>
      <c r="BS224" s="11"/>
      <c r="BT224" s="11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10F356E-5A57-4A23-A7AE-0E3932C63DA2}">
          <x14:formula1>
            <xm:f>Scenarios!$A$4:$A$6</xm:f>
          </x14:formula1>
          <xm:sqref>D7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Scenarios</vt:lpstr>
      <vt:lpstr>Calculations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 K</dc:creator>
  <cp:lastModifiedBy>AKSHAY K</cp:lastModifiedBy>
  <dcterms:created xsi:type="dcterms:W3CDTF">2026-07-31T16:07:11Z</dcterms:created>
  <dcterms:modified xsi:type="dcterms:W3CDTF">2026-08-01T15:22:53Z</dcterms:modified>
</cp:coreProperties>
</file>